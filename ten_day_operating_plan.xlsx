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20e29454ea41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" sheetId="1" r:id="R0a21d24682464ad2"/>
    <x:sheet xmlns:r="http://schemas.openxmlformats.org/officeDocument/2006/relationships" name="Daily plan" sheetId="2" r:id="R989a0306a8794ee1"/>
    <x:sheet xmlns:r="http://schemas.openxmlformats.org/officeDocument/2006/relationships" name="Work log" sheetId="3" r:id="R32ec74fa6ea54fad"/>
    <x:sheet xmlns:r="http://schemas.openxmlformats.org/officeDocument/2006/relationships" name="Inputs" sheetId="4" r:id="R03a62d211d75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mmm d, yyyy"/>
    <x:numFmt numFmtId="202" formatCode="ddd, mmm d"/>
    <x:numFmt numFmtId="203" formatCode="mmm d"/>
  </x:numFmts>
  <x:fonts count="5">
    <x:font>
      <x:sz val="11"/>
      <x:name val="Carlito"/>
    </x:font>
    <x:font>
      <x:sz val="10"/>
      <x:color rgb="FF243244"/>
      <x:name val="Arial"/>
    </x:font>
    <x:font>
      <x:b/>
      <x:sz val="14"/>
      <x:color rgb="FF243244"/>
      <x:name val="Arial"/>
    </x:font>
    <x:font>
      <x:b/>
      <x:sz val="10"/>
      <x:color rgb="FFFFFFFF"/>
      <x:name val="Arial"/>
    </x:font>
    <x:font>
      <x:b/>
      <x:sz val="10"/>
      <x:color rgb="FF24324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2CD"/>
      </x:patternFill>
    </x:fill>
    <x:fill>
      <x:patternFill patternType="solid">
        <x:fgColor rgb="FFEFF3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A4262C"/>
      </x:font>
      <x:fill>
        <x:patternFill patternType="solid">
          <x:bgColor rgb="FFFCE4E4"/>
        </x:patternFill>
      </x:fill>
    </x:dxf>
    <x:dxf>
      <x:font>
        <x:b/>
        <x:color rgb="FFA4262C"/>
      </x:font>
      <x:fill>
        <x:patternFill patternType="solid">
          <x:bgColor rgb="FFFCE4E4"/>
        </x:patternFill>
      </x:fill>
    </x:dxf>
    <x:dxf>
      <x:font>
        <x:b/>
        <x:color rgb="FFA4262C"/>
      </x:font>
      <x:fill>
        <x:patternFill patternType="solid">
          <x:bgColor rgb="FFFCE4E4"/>
        </x:patternFill>
      </x:fill>
    </x:dxf>
    <x:dxf>
      <x:font>
        <x:b/>
        <x:color rgb="FFA4262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5a2e8bd0d4c03" /><Relationship Type="http://schemas.openxmlformats.org/officeDocument/2006/relationships/theme" Target="/xl/theme/theme1.xml" Id="Rcad94f7178c74f6b" /><Relationship Type="http://schemas.openxmlformats.org/officeDocument/2006/relationships/sharedStrings" Target="/xl/sharedStrings.xml" Id="R1ad33a195fce4e7f" /><Relationship Type="http://schemas.openxmlformats.org/officeDocument/2006/relationships/worksheet" Target="/xl/worksheets/sheet1.xml" Id="R0a21d24682464ad2" /><Relationship Type="http://schemas.openxmlformats.org/officeDocument/2006/relationships/worksheet" Target="/xl/worksheets/sheet2.xml" Id="R989a0306a8794ee1" /><Relationship Type="http://schemas.openxmlformats.org/officeDocument/2006/relationships/worksheet" Target="/xl/worksheets/sheet3.xml" Id="R32ec74fa6ea54fad" /><Relationship Type="http://schemas.openxmlformats.org/officeDocument/2006/relationships/worksheet" Target="/xl/worksheets/sheet4.xml" Id="R03a62d211d7546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64A"/>
  </x:sheetPr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9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</x:row>
    <x:row r="2" ht="25" customHeight="1">
      <x:c r="A2" s="3" t="str">
        <x:v>Ten-day capacity plan</x:v>
      </x:c>
      <x:c r="B2" s="2"/>
      <x:c r="C2" s="2"/>
      <x:c r="D2" s="2"/>
      <x:c r="E2" s="2"/>
      <x:c r="F2" s="2"/>
      <x:c r="G2" s="2"/>
    </x:row>
    <x:row r="3" ht="25" customHeight="1">
      <x:c r="A3" s="2" t="str">
        <x:v>September 8–21, 2026. Hours reflect a proposed operating plan, with recovery still unverified.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32" customHeight="1">
      <x:c r="A5" s="7" t="str">
        <x:v>Person</x:v>
      </x:c>
      <x:c r="B5" s="7" t="str">
        <x:v>Ceiling h</x:v>
      </x:c>
      <x:c r="C5" s="7" t="str">
        <x:v>Project h</x:v>
      </x:c>
      <x:c r="D5" s="7" t="str">
        <x:v>Queue h</x:v>
      </x:c>
      <x:c r="E5" s="7" t="str">
        <x:v>Used h</x:v>
      </x:c>
      <x:c r="F5" s="7" t="str">
        <x:v>Free h</x:v>
      </x:c>
      <x:c r="G5" s="7" t="str">
        <x:v>Capacity check</x:v>
      </x:c>
    </x:row>
    <x:row r="6" ht="38" customHeight="1">
      <x:c r="A6" s="12" t="str">
        <x:v>Head of Deployment &amp; Customer Ops</x:v>
      </x:c>
      <x:c r="B6" s="8" t="n">
        <x:f>'Inputs'!B6</x:f>
        <x:v>7.5</x:v>
      </x:c>
      <x:c r="C6" s="8" t="n">
        <x:f>SUMIFS('Work log'!$F$6:$F$74,'Work log'!$D$6:$D$74,A6,'Work log'!$E$6:$E$74,"&lt;&gt;Coverage")</x:f>
        <x:v>6.5</x:v>
      </x:c>
      <x:c r="D6" s="8" t="n">
        <x:f>SUMIFS('Work log'!$F$6:$F$74,'Work log'!$D$6:$D$74,A6,'Work log'!$E$6:$E$74,"Coverage")</x:f>
        <x:v>0</x:v>
      </x:c>
      <x:c r="E6" s="8" t="n">
        <x:f>SUM(C6:D6)</x:f>
        <x:v>6.5</x:v>
      </x:c>
      <x:c r="F6" s="8" t="n">
        <x:f>B6-E6</x:f>
        <x:v>1</x:v>
      </x:c>
      <x:c r="G6" s="2" t="str">
        <x:f>IF(COUNTBLANK('Inputs'!B6)&gt;0,"MISSING INPUT",IF(B6&lt;0,"INVALID INPUT",IF(F6&lt;0,"OVER CAPACITY","OK")))</x:f>
        <x:v>OK</x:v>
      </x:c>
    </x:row>
    <x:row r="7" ht="38" customHeight="1">
      <x:c r="A7" s="12" t="str">
        <x:v>Priya Chandrasekaran</x:v>
      </x:c>
      <x:c r="B7" s="8" t="n">
        <x:f>'Inputs'!B7</x:f>
        <x:v>36</x:v>
      </x:c>
      <x:c r="C7" s="8" t="n">
        <x:f>SUMIFS('Work log'!$F$6:$F$74,'Work log'!$D$6:$D$74,A7,'Work log'!$E$6:$E$74,"&lt;&gt;Coverage")</x:f>
        <x:v>23</x:v>
      </x:c>
      <x:c r="D7" s="8" t="n">
        <x:f>SUMIFS('Work log'!$F$6:$F$74,'Work log'!$D$6:$D$74,A7,'Work log'!$E$6:$E$74,"Coverage")</x:f>
        <x:v>0</x:v>
      </x:c>
      <x:c r="E7" s="8" t="n">
        <x:f>SUM(C7:D7)</x:f>
        <x:v>23</x:v>
      </x:c>
      <x:c r="F7" s="8" t="n">
        <x:f>B7-E7</x:f>
        <x:v>13</x:v>
      </x:c>
      <x:c r="G7" s="2" t="str">
        <x:f>IF(COUNTBLANK('Inputs'!B7)&gt;0,"MISSING INPUT",IF(B7&lt;0,"INVALID INPUT",IF(F7&lt;0,"OVER CAPACITY","OK")))</x:f>
        <x:v>OK</x:v>
      </x:c>
    </x:row>
    <x:row r="8" ht="38" customHeight="1">
      <x:c r="A8" s="12" t="str">
        <x:v>Jordan Kwan</x:v>
      </x:c>
      <x:c r="B8" s="8" t="n">
        <x:f>'Inputs'!B8</x:f>
        <x:v>25</x:v>
      </x:c>
      <x:c r="C8" s="8" t="n">
        <x:f>SUMIFS('Work log'!$F$6:$F$74,'Work log'!$D$6:$D$74,A8,'Work log'!$E$6:$E$74,"&lt;&gt;Coverage")</x:f>
        <x:v>15</x:v>
      </x:c>
      <x:c r="D8" s="8" t="n">
        <x:f>SUMIFS('Work log'!$F$6:$F$74,'Work log'!$D$6:$D$74,A8,'Work log'!$E$6:$E$74,"Coverage")</x:f>
        <x:v>0</x:v>
      </x:c>
      <x:c r="E8" s="8" t="n">
        <x:f>SUM(C8:D8)</x:f>
        <x:v>15</x:v>
      </x:c>
      <x:c r="F8" s="8" t="n">
        <x:f>B8-E8</x:f>
        <x:v>10</x:v>
      </x:c>
      <x:c r="G8" s="2" t="str">
        <x:f>IF(COUNTBLANK('Inputs'!B8)&gt;0,"MISSING INPUT",IF(B8&lt;0,"INVALID INPUT",IF(F8&lt;0,"OVER CAPACITY","OK")))</x:f>
        <x:v>OK</x:v>
      </x:c>
    </x:row>
    <x:row r="9" ht="38" customHeight="1">
      <x:c r="A9" s="12" t="str">
        <x:v>Diego Marsh</x:v>
      </x:c>
      <x:c r="B9" s="8" t="n">
        <x:f>'Inputs'!B9</x:f>
        <x:v>34</x:v>
      </x:c>
      <x:c r="C9" s="8" t="n">
        <x:f>SUMIFS('Work log'!$F$6:$F$74,'Work log'!$D$6:$D$74,A9,'Work log'!$E$6:$E$74,"&lt;&gt;Coverage")</x:f>
        <x:v>14</x:v>
      </x:c>
      <x:c r="D9" s="8" t="n">
        <x:f>SUMIFS('Work log'!$F$6:$F$74,'Work log'!$D$6:$D$74,A9,'Work log'!$E$6:$E$74,"Coverage")</x:f>
        <x:v>14</x:v>
      </x:c>
      <x:c r="E9" s="8" t="n">
        <x:f>SUM(C9:D9)</x:f>
        <x:v>28</x:v>
      </x:c>
      <x:c r="F9" s="8" t="n">
        <x:f>B9-E9</x:f>
        <x:v>6</x:v>
      </x:c>
      <x:c r="G9" s="2" t="str">
        <x:f>IF(COUNTBLANK('Inputs'!B9)&gt;0,"MISSING INPUT",IF(B9&lt;0,"INVALID INPUT",IF(F9&lt;0,"OVER CAPACITY","OK")))</x:f>
        <x:v>OK</x:v>
      </x:c>
    </x:row>
    <x:row r="10" ht="38" customHeight="1">
      <x:c r="A10" s="12" t="str">
        <x:v>Nate Osei</x:v>
      </x:c>
      <x:c r="B10" s="8" t="n">
        <x:f>'Inputs'!B10</x:f>
        <x:v>24</x:v>
      </x:c>
      <x:c r="C10" s="8" t="n">
        <x:f>SUMIFS('Work log'!$F$6:$F$74,'Work log'!$D$6:$D$74,A10,'Work log'!$E$6:$E$74,"&lt;&gt;Coverage")</x:f>
        <x:v>9</x:v>
      </x:c>
      <x:c r="D10" s="8" t="n">
        <x:f>SUMIFS('Work log'!$F$6:$F$74,'Work log'!$D$6:$D$74,A10,'Work log'!$E$6:$E$74,"Coverage")</x:f>
        <x:v>0</x:v>
      </x:c>
      <x:c r="E10" s="8" t="n">
        <x:f>SUM(C10:D10)</x:f>
        <x:v>9</x:v>
      </x:c>
      <x:c r="F10" s="8" t="n">
        <x:f>B10-E10</x:f>
        <x:v>15</x:v>
      </x:c>
      <x:c r="G10" s="2" t="str">
        <x:f>IF(COUNTBLANK('Inputs'!B10)&gt;0,"MISSING INPUT",IF(B10&lt;0,"INVALID INPUT",IF(F10&lt;0,"OVER CAPACITY","OK")))</x:f>
        <x:v>OK</x:v>
      </x:c>
    </x:row>
    <x:row r="11" ht="25" customHeight="1">
      <x:c r="A11" s="13" t="str">
        <x:v>Total stated ceiling</x:v>
      </x:c>
      <x:c r="B11" s="26" t="n">
        <x:f>SUM(B6:B10)</x:f>
        <x:v>126.5</x:v>
      </x:c>
      <x:c r="C11" s="26" t="n">
        <x:f>SUM(C6:C10)</x:f>
        <x:v>67.5</x:v>
      </x:c>
      <x:c r="D11" s="26" t="n">
        <x:f>SUM(D6:D10)</x:f>
        <x:v>14</x:v>
      </x:c>
      <x:c r="E11" s="26" t="n">
        <x:f>SUM(E6:E10)</x:f>
        <x:v>81.5</x:v>
      </x:c>
      <x:c r="F11" s="26" t="n">
        <x:f>SUM(F6:F10)</x:f>
        <x:v>45</x:v>
      </x:c>
      <x:c r="G11" s="13"/>
    </x:row>
    <x:row r="12" ht="25" customHeight="1">
      <x:c r="A12" s="2"/>
      <x:c r="B12" s="2"/>
      <x:c r="C12" s="2"/>
      <x:c r="D12" s="2"/>
      <x:c r="E12" s="2"/>
      <x:c r="F12" s="2"/>
      <x:c r="G12" s="2"/>
    </x:row>
    <x:row r="13" ht="25" customHeight="1">
      <x:c r="A13" s="2" t="str">
        <x:v>Nate's 15h free balance is preserved for the wider account book, not Ephrata reserve.</x:v>
      </x:c>
      <x:c r="B13" s="2"/>
      <x:c r="C13" s="2"/>
      <x:c r="D13" s="2"/>
      <x:c r="E13" s="2"/>
      <x:c r="F13" s="2"/>
      <x:c r="G13" s="2"/>
    </x:row>
    <x:row r="14" ht="25" customHeight="1">
      <x:c r="A14" s="2" t="str">
        <x:v>Priya/Jordan ceilings are a proposed 36h/25h split of the sourced 61h combined ceiling.</x:v>
      </x:c>
      <x:c r="B14" s="2"/>
      <x:c r="C14" s="2"/>
      <x:c r="D14" s="2"/>
      <x:c r="E14" s="2"/>
      <x:c r="F14" s="2"/>
      <x:c r="G14" s="2"/>
    </x:row>
    <x:row r="15" ht="25" customHeight="1">
      <x:c r="A15" s="2"/>
      <x:c r="B15" s="2"/>
      <x:c r="C15" s="2"/>
      <x:c r="D15" s="2"/>
      <x:c r="E15" s="2"/>
      <x:c r="F15" s="2"/>
      <x:c r="G15" s="2"/>
    </x:row>
    <x:row r="16" ht="32" customHeight="1">
      <x:c r="A16" s="7" t="str">
        <x:v>Rule</x:v>
      </x:c>
      <x:c r="B16" s="7" t="str">
        <x:v>Measured</x:v>
      </x:c>
      <x:c r="C16" s="7" t="str">
        <x:v>Limit</x:v>
      </x:c>
      <x:c r="D16" s="2"/>
      <x:c r="E16" s="2"/>
      <x:c r="F16" s="2"/>
      <x:c r="G16" s="7" t="str">
        <x:v>Decision</x:v>
      </x:c>
    </x:row>
    <x:row r="17" ht="25" customHeight="1">
      <x:c r="A17" s="2" t="str">
        <x:v>Ephrata engineering hours</x:v>
      </x:c>
      <x:c r="B17" s="8" t="n">
        <x:f>SUMIFS('Work log'!$F$6:$F$74,'Work log'!$D$6:$D$74,'Inputs'!A10,'Work log'!$E$6:$E$74,"Ephrata")</x:f>
        <x:v>9</x:v>
      </x:c>
      <x:c r="C17" s="8" t="n">
        <x:f>'Inputs'!D10</x:f>
        <x:v>9</x:v>
      </x:c>
      <x:c r="D17" s="2"/>
      <x:c r="E17" s="2"/>
      <x:c r="F17" s="2"/>
      <x:c r="G17" s="2" t="str">
        <x:f>IF(B17&gt;C17,"ESCALATE: engineering cap","OK")</x:f>
        <x:v>OK</x:v>
      </x:c>
    </x:row>
    <x:row r="18" ht="25" customHeight="1">
      <x:c r="A18" s="2" t="str">
        <x:v>Protected queue hours</x:v>
      </x:c>
      <x:c r="B18" s="8" t="n">
        <x:f>SUMIFS('Work log'!$F$6:$F$74,'Work log'!$D$6:$D$74,'Inputs'!A9,'Work log'!$E$6:$E$74,"Coverage")</x:f>
        <x:v>14</x:v>
      </x:c>
      <x:c r="C18" s="8" t="n">
        <x:f>'Inputs'!C9</x:f>
        <x:v>14</x:v>
      </x:c>
      <x:c r="D18" s="2"/>
      <x:c r="E18" s="2"/>
      <x:c r="F18" s="2"/>
      <x:c r="G18" s="2" t="str">
        <x:f>IF(B18&lt;C18,"GAP: protect queue hours","OK")</x:f>
        <x:v>OK</x:v>
      </x:c>
    </x:row>
    <x:row r="19" ht="25" customHeight="1">
      <x:c r="A19" s="2" t="str">
        <x:v>Strategist split hours</x:v>
      </x:c>
      <x:c r="B19" s="8" t="n">
        <x:f>SUM('Inputs'!B7:B8)</x:f>
        <x:v>61</x:v>
      </x:c>
      <x:c r="C19" s="8" t="n">
        <x:f>'Inputs'!B12</x:f>
        <x:v>61</x:v>
      </x:c>
      <x:c r="D19" s="2"/>
      <x:c r="E19" s="2"/>
      <x:c r="F19" s="2"/>
      <x:c r="G19" s="2" t="str">
        <x:f>IF(B19&lt;&gt;C19,"REVIEW: individual split","OK")</x:f>
        <x:v>OK</x:v>
      </x:c>
    </x:row>
    <x:row r="20" ht="25" customHeight="1">
      <x:c r="A20" s="2" t="str">
        <x:v>Daily capacity flags</x:v>
      </x:c>
      <x:c r="B20" s="8" t="n">
        <x:f>COUNTIFS('Daily plan'!H6:H65,"&lt;&gt;OK")</x:f>
        <x:v>0</x:v>
      </x:c>
      <x:c r="C20" s="8" t="n">
        <x:v>0</x:v>
      </x:c>
      <x:c r="D20" s="2"/>
      <x:c r="E20" s="2"/>
      <x:c r="F20" s="2"/>
      <x:c r="G20" s="2" t="str">
        <x:f>IF(B20&gt;0,"REVIEW: daily conflicts","OK")</x:f>
        <x:v>OK</x:v>
      </x:c>
    </x:row>
    <x:row r="21" ht="25" customHeight="1">
      <x:c r="A21" s="2" t="str">
        <x:v>Daily profiles vs ceilings (h)</x:v>
      </x:c>
      <x:c r="B21" s="8" t="n">
        <x:f>ABS(SUM('Inputs'!C21:C30)-'Inputs'!B6)+ABS(SUM('Inputs'!D21:D30)-'Inputs'!B7)+ABS(SUM('Inputs'!E21:E30)-'Inputs'!B8)+ABS(SUM('Inputs'!F21:F30)-('Inputs'!B9-'Inputs'!C9))+ABS(SUM('Inputs'!G21:G30)-'Inputs'!C9)+ABS(SUM('Inputs'!H21:H30)-'Inputs'!D10)</x:f>
        <x:v>0</x:v>
      </x:c>
      <x:c r="C21" s="8" t="n">
        <x:v>0</x:v>
      </x:c>
      <x:c r="D21" s="2"/>
      <x:c r="E21" s="2"/>
      <x:c r="F21" s="2"/>
      <x:c r="G21" s="2" t="str">
        <x:f>IF(B21&gt;0,"REVIEW: daily profiles","OK")</x:f>
        <x:v>OK</x:v>
      </x:c>
    </x:row>
    <x:row r="22" ht="25" customHeight="1">
      <x:c r="A22" s="2" t="str">
        <x:v>Missing capacity inputs</x:v>
      </x:c>
      <x:c r="B22" s="8" t="n">
        <x:f>COUNTBLANK('Inputs'!B6:B10)+COUNTBLANK('Inputs'!B12)+COUNTBLANK('Inputs'!C9)+COUNTBLANK('Inputs'!D10)+COUNTBLANK('Inputs'!B14:B18)+COUNTBLANK('Inputs'!B21:H30)</x:f>
        <x:v>0</x:v>
      </x:c>
      <x:c r="C22" s="8" t="n">
        <x:v>0</x:v>
      </x:c>
      <x:c r="D22" s="2"/>
      <x:c r="E22" s="2"/>
      <x:c r="F22" s="2"/>
      <x:c r="G22" s="2" t="str">
        <x:f>IF(B22&gt;0,"MISSING: capacity input","OK")</x:f>
        <x:v>OK</x:v>
      </x:c>
    </x:row>
    <x:row r="23" ht="25" customHeight="1">
      <x:c r="A23" s="2" t="str">
        <x:v>Work log row flags</x:v>
      </x:c>
      <x:c r="B23" s="8" t="n">
        <x:f>COUNTIFS('Work log'!M6:M74,"&lt;&gt;OK")</x:f>
        <x:v>0</x:v>
      </x:c>
      <x:c r="C23" s="8" t="n">
        <x:v>0</x:v>
      </x:c>
      <x:c r="D23" s="2"/>
      <x:c r="E23" s="2"/>
      <x:c r="F23" s="2"/>
      <x:c r="G23" s="2" t="str">
        <x:f>IF(B23&gt;0,"REVIEW: work log row","OK")</x:f>
        <x:v>OK</x:v>
      </x:c>
    </x:row>
    <x:row r="24" ht="25" customHeight="1">
      <x:c r="A24" s="2" t="str">
        <x:v>Fixed source boundaries retained</x:v>
      </x:c>
      <x:c r="B24" s="2" t="n">
        <x:f>IF(AND('Inputs'!B6&lt;=7.5,'Inputs'!B9&lt;=34,'Inputs'!B10&lt;=24,'Inputs'!C9=14,'Inputs'!D10=9,'Inputs'!B12=61,'Inputs'!B14=DATE(2026,9,8),'Inputs'!B15=DATE(2026,9,21),'Inputs'!B16=DATE(2026,9,11),'Inputs'!B17=DATE(2026,9,18),'Inputs'!B18=DATE(2026,9,22)),1,0)</x:f>
        <x:v>1</x:v>
      </x:c>
      <x:c r="C24" s="2" t="n">
        <x:v>1</x:v>
      </x:c>
      <x:c r="D24" s="2"/>
      <x:c r="E24" s="2"/>
      <x:c r="F24" s="2"/>
      <x:c r="G24" s="2" t="str">
        <x:f>IF(B24&lt;&gt;C24,"REVIEW: source boundary","OK")</x:f>
        <x:v>OK</x:v>
      </x:c>
    </x:row>
    <x:row r="25" ht="25" customHeight="1">
      <x:c r="A25" s="2" t="str">
        <x:v>Durant export planned by target</x:v>
      </x:c>
      <x:c r="B25" s="27" t="n">
        <x:f>'Work log'!C35</x:f>
        <x:v>46276</x:v>
      </x:c>
      <x:c r="C25" s="27" t="n">
        <x:f>'Inputs'!B16</x:f>
        <x:v>46276</x:v>
      </x:c>
      <x:c r="D25" s="2"/>
      <x:c r="E25" s="2"/>
      <x:c r="F25" s="2"/>
      <x:c r="G25" s="2" t="str">
        <x:f>IF(NOT(ISNUMBER(B25)),"MISSING: export date",IF(B25&gt;C25,"RISK: export target","OK"))</x:f>
        <x:v>OK</x:v>
      </x:c>
    </x:row>
    <x:row r="26" ht="25" customHeight="1">
      <x:c r="A26" s="2" t="str">
        <x:v>Durant deactivation on final day</x:v>
      </x:c>
      <x:c r="B26" s="27" t="n">
        <x:f>'Work log'!C66</x:f>
        <x:v>46283</x:v>
      </x:c>
      <x:c r="C26" s="27" t="n">
        <x:f>'Inputs'!B17</x:f>
        <x:v>46283</x:v>
      </x:c>
      <x:c r="D26" s="2"/>
      <x:c r="E26" s="2"/>
      <x:c r="F26" s="2"/>
      <x:c r="G26" s="2" t="str">
        <x:f>IF(NOT(ISNUMBER(B26)),"MISSING: exit date",IF(B26&lt;&gt;C26,"ESCALATE: exit date","OK"))</x:f>
        <x:v>OK</x:v>
      </x:c>
    </x:row>
    <x:row r="27" ht="25" customHeight="1">
      <x:c r="A27" s="2" t="str">
        <x:v>Medford proposal before review</x:v>
      </x:c>
      <x:c r="B27" s="27" t="n">
        <x:f>'Work log'!C72</x:f>
        <x:v>46286</x:v>
      </x:c>
      <x:c r="C27" s="27" t="n">
        <x:f>'Inputs'!B18</x:f>
        <x:v>46287</x:v>
      </x:c>
      <x:c r="D27" s="2"/>
      <x:c r="E27" s="2"/>
      <x:c r="F27" s="2"/>
      <x:c r="G27" s="2" t="str">
        <x:f>IF(NOT(ISNUMBER(B27)),"MISSING: proposal date",IF(B27&gt;=C27,"RISK: board proposal","OK"))</x:f>
        <x:v>OK</x:v>
      </x:c>
    </x:row>
    <x:row r="28" ht="25" customHeight="1">
      <x:c r="A28" s="2"/>
      <x:c r="B28" s="2"/>
      <x:c r="C28" s="2"/>
      <x:c r="D28" s="2"/>
      <x:c r="E28" s="2"/>
      <x:c r="F28" s="2"/>
      <x:c r="G28" s="2"/>
    </x:row>
    <x:row r="29" ht="25" customHeight="1">
      <x:c r="A29" s="2" t="str">
        <x:v>Checks show allocation feasibility. They do not imply any task is completed or any repair is verified.</x:v>
      </x:c>
      <x:c r="B29" s="2"/>
      <x:c r="C29" s="2"/>
      <x:c r="D29" s="2"/>
      <x:c r="E29" s="2"/>
      <x:c r="F29" s="2"/>
      <x:c r="G29" s="2"/>
    </x:row>
    <x:row r="30" ht="25" customHeight="1">
      <x:c r="A30" s="2"/>
      <x:c r="B30" s="2"/>
      <x:c r="C30" s="2"/>
      <x:c r="D30" s="2"/>
      <x:c r="E30" s="2"/>
      <x:c r="F30" s="2"/>
      <x:c r="G30" s="2"/>
    </x:row>
    <x:row r="31" ht="25" customHeight="1">
      <x:c r="A31" s="2"/>
      <x:c r="B31" s="2"/>
      <x:c r="C31" s="2"/>
      <x:c r="D31" s="2"/>
      <x:c r="E31" s="2"/>
      <x:c r="F31" s="2"/>
      <x:c r="G31" s="2"/>
    </x:row>
    <x:row r="32" ht="32" customHeight="1">
      <x:c r="A32" s="7" t="str">
        <x:v>Account / activity</x:v>
      </x:c>
      <x:c r="B32" s="7" t="str">
        <x:v>Hours</x:v>
      </x:c>
      <x:c r="C32" s="2"/>
      <x:c r="D32" s="2"/>
      <x:c r="E32" s="2"/>
      <x:c r="F32" s="2"/>
      <x:c r="G32" s="7" t="str">
        <x:v>Funded outcome / boundary</x:v>
      </x:c>
    </x:row>
    <x:row r="33" ht="48" customHeight="1">
      <x:c r="A33" s="2" t="str">
        <x:v>Ephrata</x:v>
      </x:c>
      <x:c r="B33" s="8" t="n">
        <x:f>SUMIFS('Work log'!$F$6:$F$74,'Work log'!$E$6:$E$74,A33)</x:f>
        <x:v>47</x:v>
      </x:c>
      <x:c r="C33" s="2"/>
      <x:c r="D33" s="2"/>
      <x:c r="E33" s="2"/>
      <x:c r="F33" s="2"/>
      <x:c r="G33" s="12" t="str">
        <x:v>Investigation and conditional verification; 9h engineering cap</x:v>
      </x:c>
    </x:row>
    <x:row r="34" ht="48" customHeight="1">
      <x:c r="A34" s="2" t="str">
        <x:v>Durant</x:v>
      </x:c>
      <x:c r="B34" s="8" t="n">
        <x:f>SUMIFS('Work log'!$F$6:$F$74,'Work log'!$E$6:$E$74,A34)</x:f>
        <x:v>10</x:v>
      </x:c>
      <x:c r="C34" s="2"/>
      <x:c r="D34" s="2"/>
      <x:c r="E34" s="2"/>
      <x:c r="F34" s="2"/>
      <x:c r="G34" s="12" t="str">
        <x:v>Validated export, invoice and agreed September 18 exit</x:v>
      </x:c>
    </x:row>
    <x:row r="35" ht="48" customHeight="1">
      <x:c r="A35" s="2" t="str">
        <x:v>Medford</x:v>
      </x:c>
      <x:c r="B35" s="8" t="n">
        <x:f>SUMIFS('Work log'!$F$6:$F$74,'Work log'!$E$6:$E$74,A35)</x:f>
        <x:v>5</x:v>
      </x:c>
      <x:c r="C35" s="2"/>
      <x:c r="D35" s="2"/>
      <x:c r="E35" s="2"/>
      <x:c r="F35" s="2"/>
      <x:c r="G35" s="12" t="str">
        <x:v>Scoping and proposal; restart not committed</x:v>
      </x:c>
    </x:row>
    <x:row r="36" ht="48" customHeight="1">
      <x:c r="A36" s="2" t="str">
        <x:v>Portfolio</x:v>
      </x:c>
      <x:c r="B36" s="8" t="n">
        <x:f>SUMIFS('Work log'!$F$6:$F$74,'Work log'!$E$6:$E$74,A36)</x:f>
        <x:v>5.5</x:v>
      </x:c>
      <x:c r="C36" s="2"/>
      <x:c r="D36" s="2"/>
      <x:c r="E36" s="2"/>
      <x:c r="F36" s="2"/>
      <x:c r="G36" s="12" t="str">
        <x:v>Allocation review and dependency coordination</x:v>
      </x:c>
    </x:row>
    <x:row r="37" ht="48" customHeight="1">
      <x:c r="A37" s="2" t="str">
        <x:v>Coverage</x:v>
      </x:c>
      <x:c r="B37" s="8" t="n">
        <x:f>SUMIFS('Work log'!$F$6:$F$74,'Work log'!$E$6:$E$74,A37)</x:f>
        <x:v>14</x:v>
      </x:c>
      <x:c r="C37" s="2"/>
      <x:c r="D37" s="2"/>
      <x:c r="E37" s="2"/>
      <x:c r="F37" s="2"/>
      <x:c r="G37" s="12" t="str">
        <x:v>Standing queue coverage across all active accounts</x:v>
      </x:c>
    </x:row>
    <x:row r="38" ht="25" customHeight="1">
      <x:c r="A38" s="2"/>
      <x:c r="B38" s="2"/>
      <x:c r="C38" s="2"/>
      <x:c r="D38" s="2"/>
      <x:c r="E38" s="2"/>
      <x:c r="F38" s="2"/>
      <x:c r="G38" s="2"/>
    </x:row>
    <x:row r="39" ht="25" customHeight="1">
      <x:c r="A39" s="2" t="str">
        <x:v>Unallocated nonengineering hours</x:v>
      </x:c>
      <x:c r="B39" s="8" t="n">
        <x:f>SUM(F6:F9)</x:f>
        <x:v>30</x:v>
      </x:c>
      <x:c r="C39" s="2"/>
      <x:c r="D39" s="2"/>
      <x:c r="E39" s="2"/>
      <x:c r="F39" s="2"/>
      <x:c r="G39" s="2"/>
    </x:row>
    <x:row r="40" ht="25" customHeight="1">
      <x:c r="A40" s="2" t="str">
        <x:v>Reserves must be reassigned by owner and date; spare strategist hours cannot substitute for engineering.</x:v>
      </x:c>
      <x:c r="B40" s="2"/>
      <x:c r="C40" s="2"/>
      <x:c r="D40" s="2"/>
      <x:c r="E40" s="2"/>
      <x:c r="F40" s="2"/>
      <x:c r="G40" s="2"/>
    </x:row>
    <x:row r="41" ht="25" customHeight="1">
      <x:c r="A41" s="2"/>
      <x:c r="B41" s="2"/>
      <x:c r="C41" s="2"/>
      <x:c r="D41" s="2"/>
      <x:c r="E41" s="2"/>
      <x:c r="F41" s="2"/>
      <x:c r="G41" s="2"/>
    </x:row>
    <x:row r="42" ht="25" customHeight="1">
      <x:c r="A42" s="2"/>
      <x:c r="B42" s="2"/>
      <x:c r="C42" s="2"/>
      <x:c r="D42" s="2"/>
      <x:c r="E42" s="2"/>
      <x:c r="F42" s="2"/>
      <x:c r="G42" s="2"/>
    </x:row>
    <x:row r="43" ht="32" customHeight="1">
      <x:c r="A43" s="7" t="str">
        <x:v>Deferred work</x:v>
      </x:c>
      <x:c r="B43" s="7" t="str">
        <x:v>Owner</x:v>
      </x:c>
      <x:c r="C43" s="2"/>
      <x:c r="D43" s="2"/>
      <x:c r="E43" s="2"/>
      <x:c r="F43" s="2"/>
      <x:c r="G43" s="7" t="str">
        <x:v>Trigger and consequence</x:v>
      </x:c>
    </x:row>
    <x:row r="44" ht="78" customHeight="1">
      <x:c r="A44" s="12" t="str">
        <x:v>Ephrata extra engineering</x:v>
      </x:c>
      <x:c r="B44" s="2" t="str">
        <x:v>Head</x:v>
      </x:c>
      <x:c r="C44" s="2"/>
      <x:c r="D44" s="2"/>
      <x:c r="E44" s="2"/>
      <x:c r="F44" s="2"/>
      <x:c r="G44" s="12" t="str">
        <x:v>Forecast exceeds 9h or retest cannot fit. Recovery stays open; sized approval request required.</x:v>
      </x:c>
    </x:row>
    <x:row r="45" ht="78" customHeight="1">
      <x:c r="A45" s="12" t="str">
        <x:v>Ephrata durable acceptance</x:v>
      </x:c>
      <x:c r="B45" s="2" t="str">
        <x:v>Priya</x:v>
      </x:c>
      <x:c r="C45" s="2"/>
      <x:c r="D45" s="2"/>
      <x:c r="E45" s="2"/>
      <x:c r="F45" s="2"/>
      <x:c r="G45" s="12" t="str">
        <x:v>Incomplete observations or new recurrence. Report inconclusive; later sample needs resourcing.</x:v>
      </x:c>
    </x:row>
    <x:row r="46" ht="78" customHeight="1">
      <x:c r="A46" s="12" t="str">
        <x:v>Medford production restart</x:v>
      </x:c>
      <x:c r="B46" s="2" t="str">
        <x:v>Jordan</x:v>
      </x:c>
      <x:c r="C46" s="2"/>
      <x:c r="D46" s="2"/>
      <x:c r="E46" s="2"/>
      <x:c r="F46" s="2"/>
      <x:c r="G46" s="12" t="str">
        <x:v>Scoping done; launch capacity / scope unapproved. Board gets proposal; no launch date promised.</x:v>
      </x:c>
    </x:row>
    <x:row r="47" ht="78" customHeight="1">
      <x:c r="A47" s="12" t="str">
        <x:v>New staffing or other-account load changes</x:v>
      </x:c>
      <x:c r="B47" s="2" t="str">
        <x:v>Head</x:v>
      </x:c>
      <x:c r="C47" s="2"/>
      <x:c r="D47" s="2"/>
      <x:c r="E47" s="2"/>
      <x:c r="F47" s="2"/>
      <x:c r="G47" s="12" t="str">
        <x:v>Work cannot fit existing true ceilings. Escalate before changing roster or obligations.</x:v>
      </x:c>
    </x:row>
    <x:row r="48" ht="25" customHeight="1">
      <x:c r="A48" s="2"/>
      <x:c r="B48" s="2"/>
      <x:c r="C48" s="2"/>
      <x:c r="D48" s="2"/>
      <x:c r="E48" s="2"/>
      <x:c r="F48" s="2"/>
      <x:c r="G48" s="2"/>
    </x:row>
    <x:row r="49" ht="25" customHeight="1">
      <x:c r="A49" s="2"/>
      <x:c r="B49" s="2"/>
      <x:c r="C49" s="2"/>
      <x:c r="D49" s="2"/>
      <x:c r="E49" s="2"/>
      <x:c r="F49" s="2"/>
      <x:c r="G49" s="2"/>
    </x:row>
  </x:sheetData>
  <x:conditionalFormatting sqref="G6:G10">
    <x:cfRule type="notContainsText" dxfId="2" priority="1" text="OK"/>
  </x:conditionalFormatting>
  <x:conditionalFormatting sqref="G17:G27">
    <x:cfRule type="notContainsText" dxfId="3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35" hidden="0" customWidth="1"/>
    <x:col min="4" max="4" width="22" hidden="0" customWidth="1"/>
    <x:col min="5" max="5" width="12" hidden="0" customWidth="1"/>
    <x:col min="6" max="6" width="12" hidden="0" customWidth="1"/>
    <x:col min="7" max="7" width="12" hidden="0" customWidth="1"/>
    <x:col min="8" max="8" width="15" hidden="0" customWidth="1"/>
    <x:col min="9" max="9" width="5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Daily capacity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2" t="str">
        <x:v>Dates are the simulation window. Proposed availability is not proof of a confirmed calendar.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7" t="str">
        <x:v>Day</x:v>
      </x:c>
      <x:c r="B5" s="7" t="str">
        <x:v>Date</x:v>
      </x:c>
      <x:c r="C5" s="7" t="str">
        <x:v>Person</x:v>
      </x:c>
      <x:c r="D5" s="7" t="str">
        <x:v>Scope</x:v>
      </x:c>
      <x:c r="E5" s="7" t="str">
        <x:v>Cap h</x:v>
      </x:c>
      <x:c r="F5" s="7" t="str">
        <x:v>Booked h</x:v>
      </x:c>
      <x:c r="G5" s="7" t="str">
        <x:v>Free h</x:v>
      </x:c>
      <x:c r="H5" s="7" t="str">
        <x:v>Check</x:v>
      </x:c>
      <x:c r="I5" s="7" t="str">
        <x:v>Focus</x:v>
      </x:c>
    </x:row>
    <x:row r="6" ht="38" customHeight="1">
      <x:c r="A6" s="2" t="n">
        <x:v>1</x:v>
      </x:c>
      <x:c r="B6" s="22" t="n">
        <x:f>'Inputs'!B21</x:f>
        <x:v>46273</x:v>
      </x:c>
      <x:c r="C6" s="12" t="str">
        <x:v>Head of Deployment &amp; Customer Ops</x:v>
      </x:c>
      <x:c r="D6" s="12" t="str">
        <x:v>All projects</x:v>
      </x:c>
      <x:c r="E6" s="8" t="n">
        <x:f>IF(COUNTBLANK('Inputs'!C21)&gt;0,"",'Inputs'!C21)</x:f>
        <x:v>1</x:v>
      </x:c>
      <x:c r="F6" s="8" t="n">
        <x:f>SUMIFS('Work log'!$F$6:$F$74,'Work log'!$D$6:$D$74,C6,'Work log'!$B$6:$B$74,A6,'Work log'!$E$6:$E$74,"&lt;&gt;Coverage")</x:f>
        <x:v>1</x:v>
      </x:c>
      <x:c r="G6" s="8" t="n">
        <x:f>IF(ISNUMBER(E6),E6-F6,"")</x:f>
        <x:v>0</x:v>
      </x:c>
      <x:c r="H6" s="2" t="str">
        <x:f>IF(NOT(ISNUMBER(E6)),"MISSING",IF(E6&lt;0,"INVALID",IF(OR(B6&lt;'Inputs'!$B$14,B6&gt;'Inputs'!$B$15,WEEKDAY(B6,2)&gt;5,B6&lt;&gt;WORKDAY('Inputs'!$B$14,A6-1)),"DATE",IF(G6&lt;0,"OVER","OK"))))</x:f>
        <x:v>OK</x:v>
      </x:c>
      <x:c r="I6" s="2" t="str">
        <x:v>H01</x:v>
      </x:c>
    </x:row>
    <x:row r="7" ht="38" customHeight="1">
      <x:c r="A7" s="2" t="n">
        <x:v>1</x:v>
      </x:c>
      <x:c r="B7" s="22" t="n">
        <x:f>'Inputs'!B21</x:f>
        <x:v>46273</x:v>
      </x:c>
      <x:c r="C7" s="12" t="str">
        <x:v>Priya Chandrasekaran</x:v>
      </x:c>
      <x:c r="D7" s="12" t="str">
        <x:v>All projects</x:v>
      </x:c>
      <x:c r="E7" s="8" t="n">
        <x:f>IF(COUNTBLANK('Inputs'!D21)&gt;0,"",'Inputs'!D21)</x:f>
        <x:v>4</x:v>
      </x:c>
      <x:c r="F7" s="8" t="n">
        <x:f>SUMIFS('Work log'!$F$6:$F$74,'Work log'!$D$6:$D$74,C7,'Work log'!$B$6:$B$74,A7,'Work log'!$E$6:$E$74,"&lt;&gt;Coverage")</x:f>
        <x:v>4</x:v>
      </x:c>
      <x:c r="G7" s="8" t="n">
        <x:f>IF(ISNUMBER(E7),E7-F7,"")</x:f>
        <x:v>0</x:v>
      </x:c>
      <x:c r="H7" s="2" t="str">
        <x:f>IF(NOT(ISNUMBER(E7)),"MISSING",IF(E7&lt;0,"INVALID",IF(OR(B7&lt;'Inputs'!$B$14,B7&gt;'Inputs'!$B$15,WEEKDAY(B7,2)&gt;5,B7&lt;&gt;WORKDAY('Inputs'!$B$14,A7-1)),"DATE",IF(G7&lt;0,"OVER","OK"))))</x:f>
        <x:v>OK</x:v>
      </x:c>
      <x:c r="I7" s="2" t="str">
        <x:v>P01, P02</x:v>
      </x:c>
    </x:row>
    <x:row r="8" ht="38" customHeight="1">
      <x:c r="A8" s="2" t="n">
        <x:v>1</x:v>
      </x:c>
      <x:c r="B8" s="22" t="n">
        <x:f>'Inputs'!B21</x:f>
        <x:v>46273</x:v>
      </x:c>
      <x:c r="C8" s="12" t="str">
        <x:v>Jordan Kwan</x:v>
      </x:c>
      <x:c r="D8" s="12" t="str">
        <x:v>All projects</x:v>
      </x:c>
      <x:c r="E8" s="8" t="n">
        <x:f>IF(COUNTBLANK('Inputs'!E21)&gt;0,"",'Inputs'!E21)</x:f>
        <x:v>3</x:v>
      </x:c>
      <x:c r="F8" s="8" t="n">
        <x:f>SUMIFS('Work log'!$F$6:$F$74,'Work log'!$D$6:$D$74,C8,'Work log'!$B$6:$B$74,A8,'Work log'!$E$6:$E$74,"&lt;&gt;Coverage")</x:f>
        <x:v>3</x:v>
      </x:c>
      <x:c r="G8" s="8" t="n">
        <x:f>IF(ISNUMBER(E8),E8-F8,"")</x:f>
        <x:v>0</x:v>
      </x:c>
      <x:c r="H8" s="2" t="str">
        <x:f>IF(NOT(ISNUMBER(E8)),"MISSING",IF(E8&lt;0,"INVALID",IF(OR(B8&lt;'Inputs'!$B$14,B8&gt;'Inputs'!$B$15,WEEKDAY(B8,2)&gt;5,B8&lt;&gt;WORKDAY('Inputs'!$B$14,A8-1)),"DATE",IF(G8&lt;0,"OVER","OK"))))</x:f>
        <x:v>OK</x:v>
      </x:c>
      <x:c r="I8" s="2" t="str">
        <x:v>J01, J02, J03</x:v>
      </x:c>
    </x:row>
    <x:row r="9" ht="38" customHeight="1">
      <x:c r="A9" s="2" t="n">
        <x:v>1</x:v>
      </x:c>
      <x:c r="B9" s="22" t="n">
        <x:f>'Inputs'!B21</x:f>
        <x:v>46273</x:v>
      </x:c>
      <x:c r="C9" s="12" t="str">
        <x:v>Diego Marsh</x:v>
      </x:c>
      <x:c r="D9" s="12" t="str">
        <x:v>Project only</x:v>
      </x:c>
      <x:c r="E9" s="8" t="n">
        <x:f>IF(COUNTBLANK('Inputs'!F21)&gt;0,"",'Inputs'!F21)</x:f>
        <x:v>2</x:v>
      </x:c>
      <x:c r="F9" s="8" t="n">
        <x:f>SUMIFS('Work log'!$F$6:$F$74,'Work log'!$D$6:$D$74,C9,'Work log'!$B$6:$B$74,A9,'Work log'!$E$6:$E$74,"&lt;&gt;Coverage")</x:f>
        <x:v>2</x:v>
      </x:c>
      <x:c r="G9" s="8" t="n">
        <x:f>IF(ISNUMBER(E9),E9-F9,"")</x:f>
        <x:v>0</x:v>
      </x:c>
      <x:c r="H9" s="2" t="str">
        <x:f>IF(NOT(ISNUMBER(E9)),"MISSING",IF(E9&lt;0,"INVALID",IF(OR(B9&lt;'Inputs'!$B$14,B9&gt;'Inputs'!$B$15,WEEKDAY(B9,2)&gt;5,B9&lt;&gt;WORKDAY('Inputs'!$B$14,A9-1)),"DATE",IF(G9&lt;0,"OVER","OK"))))</x:f>
        <x:v>OK</x:v>
      </x:c>
      <x:c r="I9" s="2" t="str">
        <x:v>D01, D02</x:v>
      </x:c>
    </x:row>
    <x:row r="10" ht="38" customHeight="1">
      <x:c r="A10" s="2" t="n">
        <x:v>1</x:v>
      </x:c>
      <x:c r="B10" s="22" t="n">
        <x:f>'Inputs'!B21</x:f>
        <x:v>46273</x:v>
      </x:c>
      <x:c r="C10" s="12" t="str">
        <x:v>Diego Marsh</x:v>
      </x:c>
      <x:c r="D10" s="12" t="str">
        <x:v>Protected coverage</x:v>
      </x:c>
      <x:c r="E10" s="8" t="n">
        <x:f>IF(COUNTBLANK('Inputs'!G21)&gt;0,"",'Inputs'!G21)</x:f>
        <x:v>2</x:v>
      </x:c>
      <x:c r="F10" s="8" t="n">
        <x:f>SUMIFS('Work log'!$F$6:$F$74,'Work log'!$D$6:$D$74,C10,'Work log'!$B$6:$B$74,A10,'Work log'!$E$6:$E$74,"Coverage")</x:f>
        <x:v>2</x:v>
      </x:c>
      <x:c r="G10" s="8" t="n">
        <x:f>IF(ISNUMBER(E10),E10-F10,"")</x:f>
        <x:v>0</x:v>
      </x:c>
      <x:c r="H10" s="2" t="str">
        <x:f>IF(NOT(ISNUMBER(E10)),"MISSING",IF(E10&lt;0,"INVALID",IF(OR(B10&lt;'Inputs'!$B$14,B10&gt;'Inputs'!$B$15,WEEKDAY(B10,2)&gt;5,B10&lt;&gt;WORKDAY('Inputs'!$B$14,A10-1)),"DATE",IF(G10&lt;0,"OVER","OK"))))</x:f>
        <x:v>OK</x:v>
      </x:c>
      <x:c r="I10" s="2" t="str">
        <x:v>Q01</x:v>
      </x:c>
    </x:row>
    <x:row r="11" ht="38" customHeight="1">
      <x:c r="A11" s="2" t="n">
        <x:v>1</x:v>
      </x:c>
      <x:c r="B11" s="22" t="n">
        <x:f>'Inputs'!B21</x:f>
        <x:v>46273</x:v>
      </x:c>
      <x:c r="C11" s="12" t="str">
        <x:v>Nate Osei</x:v>
      </x:c>
      <x:c r="D11" s="12" t="str">
        <x:v>Ephrata only</x:v>
      </x:c>
      <x:c r="E11" s="8" t="n">
        <x:f>IF(COUNTBLANK('Inputs'!H21)&gt;0,"",'Inputs'!H21)</x:f>
        <x:v>0</x:v>
      </x:c>
      <x:c r="F11" s="8" t="n">
        <x:f>SUMIFS('Work log'!$F$6:$F$74,'Work log'!$D$6:$D$74,C11,'Work log'!$B$6:$B$74,A11,'Work log'!$E$6:$E$74,"&lt;&gt;Coverage")</x:f>
        <x:v>0</x:v>
      </x:c>
      <x:c r="G11" s="8" t="n">
        <x:f>IF(ISNUMBER(E11),E11-F11,"")</x:f>
        <x:v>0</x:v>
      </x:c>
      <x:c r="H11" s="2" t="str">
        <x:f>IF(NOT(ISNUMBER(E11)),"MISSING",IF(E11&lt;0,"INVALID",IF(OR(B11&lt;'Inputs'!$B$14,B11&gt;'Inputs'!$B$15,WEEKDAY(B11,2)&gt;5,B11&lt;&gt;WORKDAY('Inputs'!$B$14,A11-1)),"DATE",IF(G11&lt;0,"OVER","OK"))))</x:f>
        <x:v>OK</x:v>
      </x:c>
      <x:c r="I11" s="2" t="str">
        <x:v>No booked project work</x:v>
      </x:c>
    </x:row>
    <x:row r="12" ht="38" customHeight="1">
      <x:c r="A12" s="20" t="n">
        <x:v>2</x:v>
      </x:c>
      <x:c r="B12" s="23" t="n">
        <x:f>'Inputs'!B22</x:f>
        <x:v>46274</x:v>
      </x:c>
      <x:c r="C12" s="25" t="str">
        <x:v>Head of Deployment &amp; Customer Ops</x:v>
      </x:c>
      <x:c r="D12" s="25" t="str">
        <x:v>All projects</x:v>
      </x:c>
      <x:c r="E12" s="24" t="n">
        <x:f>IF(COUNTBLANK('Inputs'!C22)&gt;0,"",'Inputs'!C22)</x:f>
        <x:v>0.75</x:v>
      </x:c>
      <x:c r="F12" s="24" t="n">
        <x:f>SUMIFS('Work log'!$F$6:$F$74,'Work log'!$D$6:$D$74,C12,'Work log'!$B$6:$B$74,A12,'Work log'!$E$6:$E$74,"&lt;&gt;Coverage")</x:f>
        <x:v>0.75</x:v>
      </x:c>
      <x:c r="G12" s="24" t="n">
        <x:f>IF(ISNUMBER(E12),E12-F12,"")</x:f>
        <x:v>0</x:v>
      </x:c>
      <x:c r="H12" s="20" t="str">
        <x:f>IF(NOT(ISNUMBER(E12)),"MISSING",IF(E12&lt;0,"INVALID",IF(OR(B12&lt;'Inputs'!$B$14,B12&gt;'Inputs'!$B$15,WEEKDAY(B12,2)&gt;5,B12&lt;&gt;WORKDAY('Inputs'!$B$14,A12-1)),"DATE",IF(G12&lt;0,"OVER","OK"))))</x:f>
        <x:v>OK</x:v>
      </x:c>
      <x:c r="I12" s="20" t="str">
        <x:v>H02</x:v>
      </x:c>
    </x:row>
    <x:row r="13" ht="38" customHeight="1">
      <x:c r="A13" s="20" t="n">
        <x:v>2</x:v>
      </x:c>
      <x:c r="B13" s="23" t="n">
        <x:f>'Inputs'!B22</x:f>
        <x:v>46274</x:v>
      </x:c>
      <x:c r="C13" s="25" t="str">
        <x:v>Priya Chandrasekaran</x:v>
      </x:c>
      <x:c r="D13" s="25" t="str">
        <x:v>All projects</x:v>
      </x:c>
      <x:c r="E13" s="24" t="n">
        <x:f>IF(COUNTBLANK('Inputs'!D22)&gt;0,"",'Inputs'!D22)</x:f>
        <x:v>4</x:v>
      </x:c>
      <x:c r="F13" s="24" t="n">
        <x:f>SUMIFS('Work log'!$F$6:$F$74,'Work log'!$D$6:$D$74,C13,'Work log'!$B$6:$B$74,A13,'Work log'!$E$6:$E$74,"&lt;&gt;Coverage")</x:f>
        <x:v>3</x:v>
      </x:c>
      <x:c r="G13" s="24" t="n">
        <x:f>IF(ISNUMBER(E13),E13-F13,"")</x:f>
        <x:v>1</x:v>
      </x:c>
      <x:c r="H13" s="20" t="str">
        <x:f>IF(NOT(ISNUMBER(E13)),"MISSING",IF(E13&lt;0,"INVALID",IF(OR(B13&lt;'Inputs'!$B$14,B13&gt;'Inputs'!$B$15,WEEKDAY(B13,2)&gt;5,B13&lt;&gt;WORKDAY('Inputs'!$B$14,A13-1)),"DATE",IF(G13&lt;0,"OVER","OK"))))</x:f>
        <x:v>OK</x:v>
      </x:c>
      <x:c r="I13" s="20" t="str">
        <x:v>P03</x:v>
      </x:c>
    </x:row>
    <x:row r="14" ht="38" customHeight="1">
      <x:c r="A14" s="20" t="n">
        <x:v>2</x:v>
      </x:c>
      <x:c r="B14" s="23" t="n">
        <x:f>'Inputs'!B22</x:f>
        <x:v>46274</x:v>
      </x:c>
      <x:c r="C14" s="25" t="str">
        <x:v>Jordan Kwan</x:v>
      </x:c>
      <x:c r="D14" s="25" t="str">
        <x:v>All projects</x:v>
      </x:c>
      <x:c r="E14" s="24" t="n">
        <x:f>IF(COUNTBLANK('Inputs'!E22)&gt;0,"",'Inputs'!E22)</x:f>
        <x:v>3</x:v>
      </x:c>
      <x:c r="F14" s="24" t="n">
        <x:f>SUMIFS('Work log'!$F$6:$F$74,'Work log'!$D$6:$D$74,C14,'Work log'!$B$6:$B$74,A14,'Work log'!$E$6:$E$74,"&lt;&gt;Coverage")</x:f>
        <x:v>2</x:v>
      </x:c>
      <x:c r="G14" s="24" t="n">
        <x:f>IF(ISNUMBER(E14),E14-F14,"")</x:f>
        <x:v>1</x:v>
      </x:c>
      <x:c r="H14" s="20" t="str">
        <x:f>IF(NOT(ISNUMBER(E14)),"MISSING",IF(E14&lt;0,"INVALID",IF(OR(B14&lt;'Inputs'!$B$14,B14&gt;'Inputs'!$B$15,WEEKDAY(B14,2)&gt;5,B14&lt;&gt;WORKDAY('Inputs'!$B$14,A14-1)),"DATE",IF(G14&lt;0,"OVER","OK"))))</x:f>
        <x:v>OK</x:v>
      </x:c>
      <x:c r="I14" s="20" t="str">
        <x:v>J04, J05</x:v>
      </x:c>
    </x:row>
    <x:row r="15" ht="38" customHeight="1">
      <x:c r="A15" s="20" t="n">
        <x:v>2</x:v>
      </x:c>
      <x:c r="B15" s="23" t="n">
        <x:f>'Inputs'!B22</x:f>
        <x:v>46274</x:v>
      </x:c>
      <x:c r="C15" s="25" t="str">
        <x:v>Diego Marsh</x:v>
      </x:c>
      <x:c r="D15" s="25" t="str">
        <x:v>Project only</x:v>
      </x:c>
      <x:c r="E15" s="24" t="n">
        <x:f>IF(COUNTBLANK('Inputs'!F22)&gt;0,"",'Inputs'!F22)</x:f>
        <x:v>2</x:v>
      </x:c>
      <x:c r="F15" s="24" t="n">
        <x:f>SUMIFS('Work log'!$F$6:$F$74,'Work log'!$D$6:$D$74,C15,'Work log'!$B$6:$B$74,A15,'Work log'!$E$6:$E$74,"&lt;&gt;Coverage")</x:f>
        <x:v>2</x:v>
      </x:c>
      <x:c r="G15" s="24" t="n">
        <x:f>IF(ISNUMBER(E15),E15-F15,"")</x:f>
        <x:v>0</x:v>
      </x:c>
      <x:c r="H15" s="20" t="str">
        <x:f>IF(NOT(ISNUMBER(E15)),"MISSING",IF(E15&lt;0,"INVALID",IF(OR(B15&lt;'Inputs'!$B$14,B15&gt;'Inputs'!$B$15,WEEKDAY(B15,2)&gt;5,B15&lt;&gt;WORKDAY('Inputs'!$B$14,A15-1)),"DATE",IF(G15&lt;0,"OVER","OK"))))</x:f>
        <x:v>OK</x:v>
      </x:c>
      <x:c r="I15" s="20" t="str">
        <x:v>D03, D04</x:v>
      </x:c>
    </x:row>
    <x:row r="16" ht="38" customHeight="1">
      <x:c r="A16" s="20" t="n">
        <x:v>2</x:v>
      </x:c>
      <x:c r="B16" s="23" t="n">
        <x:f>'Inputs'!B22</x:f>
        <x:v>46274</x:v>
      </x:c>
      <x:c r="C16" s="25" t="str">
        <x:v>Diego Marsh</x:v>
      </x:c>
      <x:c r="D16" s="25" t="str">
        <x:v>Protected coverage</x:v>
      </x:c>
      <x:c r="E16" s="24" t="n">
        <x:f>IF(COUNTBLANK('Inputs'!G22)&gt;0,"",'Inputs'!G22)</x:f>
        <x:v>2</x:v>
      </x:c>
      <x:c r="F16" s="24" t="n">
        <x:f>SUMIFS('Work log'!$F$6:$F$74,'Work log'!$D$6:$D$74,C16,'Work log'!$B$6:$B$74,A16,'Work log'!$E$6:$E$74,"Coverage")</x:f>
        <x:v>2</x:v>
      </x:c>
      <x:c r="G16" s="24" t="n">
        <x:f>IF(ISNUMBER(E16),E16-F16,"")</x:f>
        <x:v>0</x:v>
      </x:c>
      <x:c r="H16" s="20" t="str">
        <x:f>IF(NOT(ISNUMBER(E16)),"MISSING",IF(E16&lt;0,"INVALID",IF(OR(B16&lt;'Inputs'!$B$14,B16&gt;'Inputs'!$B$15,WEEKDAY(B16,2)&gt;5,B16&lt;&gt;WORKDAY('Inputs'!$B$14,A16-1)),"DATE",IF(G16&lt;0,"OVER","OK"))))</x:f>
        <x:v>OK</x:v>
      </x:c>
      <x:c r="I16" s="20" t="str">
        <x:v>Q02</x:v>
      </x:c>
    </x:row>
    <x:row r="17" ht="38" customHeight="1">
      <x:c r="A17" s="20" t="n">
        <x:v>2</x:v>
      </x:c>
      <x:c r="B17" s="23" t="n">
        <x:f>'Inputs'!B22</x:f>
        <x:v>46274</x:v>
      </x:c>
      <x:c r="C17" s="25" t="str">
        <x:v>Nate Osei</x:v>
      </x:c>
      <x:c r="D17" s="25" t="str">
        <x:v>Ephrata only</x:v>
      </x:c>
      <x:c r="E17" s="24" t="n">
        <x:f>IF(COUNTBLANK('Inputs'!H22)&gt;0,"",'Inputs'!H22)</x:f>
        <x:v>3</x:v>
      </x:c>
      <x:c r="F17" s="24" t="n">
        <x:f>SUMIFS('Work log'!$F$6:$F$74,'Work log'!$D$6:$D$74,C17,'Work log'!$B$6:$B$74,A17,'Work log'!$E$6:$E$74,"&lt;&gt;Coverage")</x:f>
        <x:v>3</x:v>
      </x:c>
      <x:c r="G17" s="24" t="n">
        <x:f>IF(ISNUMBER(E17),E17-F17,"")</x:f>
        <x:v>0</x:v>
      </x:c>
      <x:c r="H17" s="20" t="str">
        <x:f>IF(NOT(ISNUMBER(E17)),"MISSING",IF(E17&lt;0,"INVALID",IF(OR(B17&lt;'Inputs'!$B$14,B17&gt;'Inputs'!$B$15,WEEKDAY(B17,2)&gt;5,B17&lt;&gt;WORKDAY('Inputs'!$B$14,A17-1)),"DATE",IF(G17&lt;0,"OVER","OK"))))</x:f>
        <x:v>OK</x:v>
      </x:c>
      <x:c r="I17" s="20" t="str">
        <x:v>N01</x:v>
      </x:c>
    </x:row>
    <x:row r="18" ht="38" customHeight="1">
      <x:c r="A18" s="2" t="n">
        <x:v>3</x:v>
      </x:c>
      <x:c r="B18" s="22" t="n">
        <x:f>'Inputs'!B23</x:f>
        <x:v>46275</x:v>
      </x:c>
      <x:c r="C18" s="12" t="str">
        <x:v>Head of Deployment &amp; Customer Ops</x:v>
      </x:c>
      <x:c r="D18" s="12" t="str">
        <x:v>All projects</x:v>
      </x:c>
      <x:c r="E18" s="8" t="n">
        <x:f>IF(COUNTBLANK('Inputs'!C23)&gt;0,"",'Inputs'!C23)</x:f>
        <x:v>0.75</x:v>
      </x:c>
      <x:c r="F18" s="8" t="n">
        <x:f>SUMIFS('Work log'!$F$6:$F$74,'Work log'!$D$6:$D$74,C18,'Work log'!$B$6:$B$74,A18,'Work log'!$E$6:$E$74,"&lt;&gt;Coverage")</x:f>
        <x:v>0.75</x:v>
      </x:c>
      <x:c r="G18" s="8" t="n">
        <x:f>IF(ISNUMBER(E18),E18-F18,"")</x:f>
        <x:v>0</x:v>
      </x:c>
      <x:c r="H18" s="2" t="str">
        <x:f>IF(NOT(ISNUMBER(E18)),"MISSING",IF(E18&lt;0,"INVALID",IF(OR(B18&lt;'Inputs'!$B$14,B18&gt;'Inputs'!$B$15,WEEKDAY(B18,2)&gt;5,B18&lt;&gt;WORKDAY('Inputs'!$B$14,A18-1)),"DATE",IF(G18&lt;0,"OVER","OK"))))</x:f>
        <x:v>OK</x:v>
      </x:c>
      <x:c r="I18" s="2" t="str">
        <x:v>H03, H04</x:v>
      </x:c>
    </x:row>
    <x:row r="19" ht="38" customHeight="1">
      <x:c r="A19" s="2" t="n">
        <x:v>3</x:v>
      </x:c>
      <x:c r="B19" s="22" t="n">
        <x:f>'Inputs'!B23</x:f>
        <x:v>46275</x:v>
      </x:c>
      <x:c r="C19" s="12" t="str">
        <x:v>Priya Chandrasekaran</x:v>
      </x:c>
      <x:c r="D19" s="12" t="str">
        <x:v>All projects</x:v>
      </x:c>
      <x:c r="E19" s="8" t="n">
        <x:f>IF(COUNTBLANK('Inputs'!D23)&gt;0,"",'Inputs'!D23)</x:f>
        <x:v>4</x:v>
      </x:c>
      <x:c r="F19" s="8" t="n">
        <x:f>SUMIFS('Work log'!$F$6:$F$74,'Work log'!$D$6:$D$74,C19,'Work log'!$B$6:$B$74,A19,'Work log'!$E$6:$E$74,"&lt;&gt;Coverage")</x:f>
        <x:v>4</x:v>
      </x:c>
      <x:c r="G19" s="8" t="n">
        <x:f>IF(ISNUMBER(E19),E19-F19,"")</x:f>
        <x:v>0</x:v>
      </x:c>
      <x:c r="H19" s="2" t="str">
        <x:f>IF(NOT(ISNUMBER(E19)),"MISSING",IF(E19&lt;0,"INVALID",IF(OR(B19&lt;'Inputs'!$B$14,B19&gt;'Inputs'!$B$15,WEEKDAY(B19,2)&gt;5,B19&lt;&gt;WORKDAY('Inputs'!$B$14,A19-1)),"DATE",IF(G19&lt;0,"OVER","OK"))))</x:f>
        <x:v>OK</x:v>
      </x:c>
      <x:c r="I19" s="2" t="str">
        <x:v>P04, P05</x:v>
      </x:c>
    </x:row>
    <x:row r="20" ht="38" customHeight="1">
      <x:c r="A20" s="2" t="n">
        <x:v>3</x:v>
      </x:c>
      <x:c r="B20" s="22" t="n">
        <x:f>'Inputs'!B23</x:f>
        <x:v>46275</x:v>
      </x:c>
      <x:c r="C20" s="12" t="str">
        <x:v>Jordan Kwan</x:v>
      </x:c>
      <x:c r="D20" s="12" t="str">
        <x:v>All projects</x:v>
      </x:c>
      <x:c r="E20" s="8" t="n">
        <x:f>IF(COUNTBLANK('Inputs'!E23)&gt;0,"",'Inputs'!E23)</x:f>
        <x:v>3</x:v>
      </x:c>
      <x:c r="F20" s="8" t="n">
        <x:f>SUMIFS('Work log'!$F$6:$F$74,'Work log'!$D$6:$D$74,C20,'Work log'!$B$6:$B$74,A20,'Work log'!$E$6:$E$74,"&lt;&gt;Coverage")</x:f>
        <x:v>2</x:v>
      </x:c>
      <x:c r="G20" s="8" t="n">
        <x:f>IF(ISNUMBER(E20),E20-F20,"")</x:f>
        <x:v>1</x:v>
      </x:c>
      <x:c r="H20" s="2" t="str">
        <x:f>IF(NOT(ISNUMBER(E20)),"MISSING",IF(E20&lt;0,"INVALID",IF(OR(B20&lt;'Inputs'!$B$14,B20&gt;'Inputs'!$B$15,WEEKDAY(B20,2)&gt;5,B20&lt;&gt;WORKDAY('Inputs'!$B$14,A20-1)),"DATE",IF(G20&lt;0,"OVER","OK"))))</x:f>
        <x:v>OK</x:v>
      </x:c>
      <x:c r="I20" s="2" t="str">
        <x:v>J06, J07</x:v>
      </x:c>
    </x:row>
    <x:row r="21" ht="38" customHeight="1">
      <x:c r="A21" s="2" t="n">
        <x:v>3</x:v>
      </x:c>
      <x:c r="B21" s="22" t="n">
        <x:f>'Inputs'!B23</x:f>
        <x:v>46275</x:v>
      </x:c>
      <x:c r="C21" s="12" t="str">
        <x:v>Diego Marsh</x:v>
      </x:c>
      <x:c r="D21" s="12" t="str">
        <x:v>Project only</x:v>
      </x:c>
      <x:c r="E21" s="8" t="n">
        <x:f>IF(COUNTBLANK('Inputs'!F23)&gt;0,"",'Inputs'!F23)</x:f>
        <x:v>2</x:v>
      </x:c>
      <x:c r="F21" s="8" t="n">
        <x:f>SUMIFS('Work log'!$F$6:$F$74,'Work log'!$D$6:$D$74,C21,'Work log'!$B$6:$B$74,A21,'Work log'!$E$6:$E$74,"&lt;&gt;Coverage")</x:f>
        <x:v>2</x:v>
      </x:c>
      <x:c r="G21" s="8" t="n">
        <x:f>IF(ISNUMBER(E21),E21-F21,"")</x:f>
        <x:v>0</x:v>
      </x:c>
      <x:c r="H21" s="2" t="str">
        <x:f>IF(NOT(ISNUMBER(E21)),"MISSING",IF(E21&lt;0,"INVALID",IF(OR(B21&lt;'Inputs'!$B$14,B21&gt;'Inputs'!$B$15,WEEKDAY(B21,2)&gt;5,B21&lt;&gt;WORKDAY('Inputs'!$B$14,A21-1)),"DATE",IF(G21&lt;0,"OVER","OK"))))</x:f>
        <x:v>OK</x:v>
      </x:c>
      <x:c r="I21" s="2" t="str">
        <x:v>D05, D06</x:v>
      </x:c>
    </x:row>
    <x:row r="22" ht="38" customHeight="1">
      <x:c r="A22" s="2" t="n">
        <x:v>3</x:v>
      </x:c>
      <x:c r="B22" s="22" t="n">
        <x:f>'Inputs'!B23</x:f>
        <x:v>46275</x:v>
      </x:c>
      <x:c r="C22" s="12" t="str">
        <x:v>Diego Marsh</x:v>
      </x:c>
      <x:c r="D22" s="12" t="str">
        <x:v>Protected coverage</x:v>
      </x:c>
      <x:c r="E22" s="8" t="n">
        <x:f>IF(COUNTBLANK('Inputs'!G23)&gt;0,"",'Inputs'!G23)</x:f>
        <x:v>2</x:v>
      </x:c>
      <x:c r="F22" s="8" t="n">
        <x:f>SUMIFS('Work log'!$F$6:$F$74,'Work log'!$D$6:$D$74,C22,'Work log'!$B$6:$B$74,A22,'Work log'!$E$6:$E$74,"Coverage")</x:f>
        <x:v>2</x:v>
      </x:c>
      <x:c r="G22" s="8" t="n">
        <x:f>IF(ISNUMBER(E22),E22-F22,"")</x:f>
        <x:v>0</x:v>
      </x:c>
      <x:c r="H22" s="2" t="str">
        <x:f>IF(NOT(ISNUMBER(E22)),"MISSING",IF(E22&lt;0,"INVALID",IF(OR(B22&lt;'Inputs'!$B$14,B22&gt;'Inputs'!$B$15,WEEKDAY(B22,2)&gt;5,B22&lt;&gt;WORKDAY('Inputs'!$B$14,A22-1)),"DATE",IF(G22&lt;0,"OVER","OK"))))</x:f>
        <x:v>OK</x:v>
      </x:c>
      <x:c r="I22" s="2" t="str">
        <x:v>Q03</x:v>
      </x:c>
    </x:row>
    <x:row r="23" ht="38" customHeight="1">
      <x:c r="A23" s="2" t="n">
        <x:v>3</x:v>
      </x:c>
      <x:c r="B23" s="22" t="n">
        <x:f>'Inputs'!B23</x:f>
        <x:v>46275</x:v>
      </x:c>
      <x:c r="C23" s="12" t="str">
        <x:v>Nate Osei</x:v>
      </x:c>
      <x:c r="D23" s="12" t="str">
        <x:v>Ephrata only</x:v>
      </x:c>
      <x:c r="E23" s="8" t="n">
        <x:f>IF(COUNTBLANK('Inputs'!H23)&gt;0,"",'Inputs'!H23)</x:f>
        <x:v>3</x:v>
      </x:c>
      <x:c r="F23" s="8" t="n">
        <x:f>SUMIFS('Work log'!$F$6:$F$74,'Work log'!$D$6:$D$74,C23,'Work log'!$B$6:$B$74,A23,'Work log'!$E$6:$E$74,"&lt;&gt;Coverage")</x:f>
        <x:v>3</x:v>
      </x:c>
      <x:c r="G23" s="8" t="n">
        <x:f>IF(ISNUMBER(E23),E23-F23,"")</x:f>
        <x:v>0</x:v>
      </x:c>
      <x:c r="H23" s="2" t="str">
        <x:f>IF(NOT(ISNUMBER(E23)),"MISSING",IF(E23&lt;0,"INVALID",IF(OR(B23&lt;'Inputs'!$B$14,B23&gt;'Inputs'!$B$15,WEEKDAY(B23,2)&gt;5,B23&lt;&gt;WORKDAY('Inputs'!$B$14,A23-1)),"DATE",IF(G23&lt;0,"OVER","OK"))))</x:f>
        <x:v>OK</x:v>
      </x:c>
      <x:c r="I23" s="2" t="str">
        <x:v>N02</x:v>
      </x:c>
    </x:row>
    <x:row r="24" ht="38" customHeight="1">
      <x:c r="A24" s="20" t="n">
        <x:v>4</x:v>
      </x:c>
      <x:c r="B24" s="23" t="n">
        <x:f>'Inputs'!B24</x:f>
        <x:v>46276</x:v>
      </x:c>
      <x:c r="C24" s="25" t="str">
        <x:v>Head of Deployment &amp; Customer Ops</x:v>
      </x:c>
      <x:c r="D24" s="25" t="str">
        <x:v>All projects</x:v>
      </x:c>
      <x:c r="E24" s="24" t="n">
        <x:f>IF(COUNTBLANK('Inputs'!C24)&gt;0,"",'Inputs'!C24)</x:f>
        <x:v>0.5</x:v>
      </x:c>
      <x:c r="F24" s="24" t="n">
        <x:f>SUMIFS('Work log'!$F$6:$F$74,'Work log'!$D$6:$D$74,C24,'Work log'!$B$6:$B$74,A24,'Work log'!$E$6:$E$74,"&lt;&gt;Coverage")</x:f>
        <x:v>0.5</x:v>
      </x:c>
      <x:c r="G24" s="24" t="n">
        <x:f>IF(ISNUMBER(E24),E24-F24,"")</x:f>
        <x:v>0</x:v>
      </x:c>
      <x:c r="H24" s="20" t="str">
        <x:f>IF(NOT(ISNUMBER(E24)),"MISSING",IF(E24&lt;0,"INVALID",IF(OR(B24&lt;'Inputs'!$B$14,B24&gt;'Inputs'!$B$15,WEEKDAY(B24,2)&gt;5,B24&lt;&gt;WORKDAY('Inputs'!$B$14,A24-1)),"DATE",IF(G24&lt;0,"OVER","OK"))))</x:f>
        <x:v>OK</x:v>
      </x:c>
      <x:c r="I24" s="20" t="str">
        <x:v>H05</x:v>
      </x:c>
    </x:row>
    <x:row r="25" ht="38" customHeight="1">
      <x:c r="A25" s="20" t="n">
        <x:v>4</x:v>
      </x:c>
      <x:c r="B25" s="23" t="n">
        <x:f>'Inputs'!B24</x:f>
        <x:v>46276</x:v>
      </x:c>
      <x:c r="C25" s="25" t="str">
        <x:v>Priya Chandrasekaran</x:v>
      </x:c>
      <x:c r="D25" s="25" t="str">
        <x:v>All projects</x:v>
      </x:c>
      <x:c r="E25" s="24" t="n">
        <x:f>IF(COUNTBLANK('Inputs'!D24)&gt;0,"",'Inputs'!D24)</x:f>
        <x:v>4</x:v>
      </x:c>
      <x:c r="F25" s="24" t="n">
        <x:f>SUMIFS('Work log'!$F$6:$F$74,'Work log'!$D$6:$D$74,C25,'Work log'!$B$6:$B$74,A25,'Work log'!$E$6:$E$74,"&lt;&gt;Coverage")</x:f>
        <x:v>3</x:v>
      </x:c>
      <x:c r="G25" s="24" t="n">
        <x:f>IF(ISNUMBER(E25),E25-F25,"")</x:f>
        <x:v>1</x:v>
      </x:c>
      <x:c r="H25" s="20" t="str">
        <x:f>IF(NOT(ISNUMBER(E25)),"MISSING",IF(E25&lt;0,"INVALID",IF(OR(B25&lt;'Inputs'!$B$14,B25&gt;'Inputs'!$B$15,WEEKDAY(B25,2)&gt;5,B25&lt;&gt;WORKDAY('Inputs'!$B$14,A25-1)),"DATE",IF(G25&lt;0,"OVER","OK"))))</x:f>
        <x:v>OK</x:v>
      </x:c>
      <x:c r="I25" s="20" t="str">
        <x:v>P06</x:v>
      </x:c>
    </x:row>
    <x:row r="26" ht="38" customHeight="1">
      <x:c r="A26" s="20" t="n">
        <x:v>4</x:v>
      </x:c>
      <x:c r="B26" s="23" t="n">
        <x:f>'Inputs'!B24</x:f>
        <x:v>46276</x:v>
      </x:c>
      <x:c r="C26" s="25" t="str">
        <x:v>Jordan Kwan</x:v>
      </x:c>
      <x:c r="D26" s="25" t="str">
        <x:v>All projects</x:v>
      </x:c>
      <x:c r="E26" s="24" t="n">
        <x:f>IF(COUNTBLANK('Inputs'!E24)&gt;0,"",'Inputs'!E24)</x:f>
        <x:v>2</x:v>
      </x:c>
      <x:c r="F26" s="24" t="n">
        <x:f>SUMIFS('Work log'!$F$6:$F$74,'Work log'!$D$6:$D$74,C26,'Work log'!$B$6:$B$74,A26,'Work log'!$E$6:$E$74,"&lt;&gt;Coverage")</x:f>
        <x:v>1</x:v>
      </x:c>
      <x:c r="G26" s="24" t="n">
        <x:f>IF(ISNUMBER(E26),E26-F26,"")</x:f>
        <x:v>1</x:v>
      </x:c>
      <x:c r="H26" s="20" t="str">
        <x:f>IF(NOT(ISNUMBER(E26)),"MISSING",IF(E26&lt;0,"INVALID",IF(OR(B26&lt;'Inputs'!$B$14,B26&gt;'Inputs'!$B$15,WEEKDAY(B26,2)&gt;5,B26&lt;&gt;WORKDAY('Inputs'!$B$14,A26-1)),"DATE",IF(G26&lt;0,"OVER","OK"))))</x:f>
        <x:v>OK</x:v>
      </x:c>
      <x:c r="I26" s="20" t="str">
        <x:v>J08, J09</x:v>
      </x:c>
    </x:row>
    <x:row r="27" ht="38" customHeight="1">
      <x:c r="A27" s="20" t="n">
        <x:v>4</x:v>
      </x:c>
      <x:c r="B27" s="23" t="n">
        <x:f>'Inputs'!B24</x:f>
        <x:v>46276</x:v>
      </x:c>
      <x:c r="C27" s="25" t="str">
        <x:v>Diego Marsh</x:v>
      </x:c>
      <x:c r="D27" s="25" t="str">
        <x:v>Project only</x:v>
      </x:c>
      <x:c r="E27" s="24" t="n">
        <x:f>IF(COUNTBLANK('Inputs'!F24)&gt;0,"",'Inputs'!F24)</x:f>
        <x:v>2</x:v>
      </x:c>
      <x:c r="F27" s="24" t="n">
        <x:f>SUMIFS('Work log'!$F$6:$F$74,'Work log'!$D$6:$D$74,C27,'Work log'!$B$6:$B$74,A27,'Work log'!$E$6:$E$74,"&lt;&gt;Coverage")</x:f>
        <x:v>1.5</x:v>
      </x:c>
      <x:c r="G27" s="24" t="n">
        <x:f>IF(ISNUMBER(E27),E27-F27,"")</x:f>
        <x:v>0.5</x:v>
      </x:c>
      <x:c r="H27" s="20" t="str">
        <x:f>IF(NOT(ISNUMBER(E27)),"MISSING",IF(E27&lt;0,"INVALID",IF(OR(B27&lt;'Inputs'!$B$14,B27&gt;'Inputs'!$B$15,WEEKDAY(B27,2)&gt;5,B27&lt;&gt;WORKDAY('Inputs'!$B$14,A27-1)),"DATE",IF(G27&lt;0,"OVER","OK"))))</x:f>
        <x:v>OK</x:v>
      </x:c>
      <x:c r="I27" s="20" t="str">
        <x:v>D07, D08</x:v>
      </x:c>
    </x:row>
    <x:row r="28" ht="38" customHeight="1">
      <x:c r="A28" s="20" t="n">
        <x:v>4</x:v>
      </x:c>
      <x:c r="B28" s="23" t="n">
        <x:f>'Inputs'!B24</x:f>
        <x:v>46276</x:v>
      </x:c>
      <x:c r="C28" s="25" t="str">
        <x:v>Diego Marsh</x:v>
      </x:c>
      <x:c r="D28" s="25" t="str">
        <x:v>Protected coverage</x:v>
      </x:c>
      <x:c r="E28" s="24" t="n">
        <x:f>IF(COUNTBLANK('Inputs'!G24)&gt;0,"",'Inputs'!G24)</x:f>
        <x:v>1</x:v>
      </x:c>
      <x:c r="F28" s="24" t="n">
        <x:f>SUMIFS('Work log'!$F$6:$F$74,'Work log'!$D$6:$D$74,C28,'Work log'!$B$6:$B$74,A28,'Work log'!$E$6:$E$74,"Coverage")</x:f>
        <x:v>1</x:v>
      </x:c>
      <x:c r="G28" s="24" t="n">
        <x:f>IF(ISNUMBER(E28),E28-F28,"")</x:f>
        <x:v>0</x:v>
      </x:c>
      <x:c r="H28" s="20" t="str">
        <x:f>IF(NOT(ISNUMBER(E28)),"MISSING",IF(E28&lt;0,"INVALID",IF(OR(B28&lt;'Inputs'!$B$14,B28&gt;'Inputs'!$B$15,WEEKDAY(B28,2)&gt;5,B28&lt;&gt;WORKDAY('Inputs'!$B$14,A28-1)),"DATE",IF(G28&lt;0,"OVER","OK"))))</x:f>
        <x:v>OK</x:v>
      </x:c>
      <x:c r="I28" s="20" t="str">
        <x:v>Q04</x:v>
      </x:c>
    </x:row>
    <x:row r="29" ht="38" customHeight="1">
      <x:c r="A29" s="20" t="n">
        <x:v>4</x:v>
      </x:c>
      <x:c r="B29" s="23" t="n">
        <x:f>'Inputs'!B24</x:f>
        <x:v>46276</x:v>
      </x:c>
      <x:c r="C29" s="25" t="str">
        <x:v>Nate Osei</x:v>
      </x:c>
      <x:c r="D29" s="25" t="str">
        <x:v>Ephrata only</x:v>
      </x:c>
      <x:c r="E29" s="24" t="n">
        <x:f>IF(COUNTBLANK('Inputs'!H24)&gt;0,"",'Inputs'!H24)</x:f>
        <x:v>3</x:v>
      </x:c>
      <x:c r="F29" s="24" t="n">
        <x:f>SUMIFS('Work log'!$F$6:$F$74,'Work log'!$D$6:$D$74,C29,'Work log'!$B$6:$B$74,A29,'Work log'!$E$6:$E$74,"&lt;&gt;Coverage")</x:f>
        <x:v>3</x:v>
      </x:c>
      <x:c r="G29" s="24" t="n">
        <x:f>IF(ISNUMBER(E29),E29-F29,"")</x:f>
        <x:v>0</x:v>
      </x:c>
      <x:c r="H29" s="20" t="str">
        <x:f>IF(NOT(ISNUMBER(E29)),"MISSING",IF(E29&lt;0,"INVALID",IF(OR(B29&lt;'Inputs'!$B$14,B29&gt;'Inputs'!$B$15,WEEKDAY(B29,2)&gt;5,B29&lt;&gt;WORKDAY('Inputs'!$B$14,A29-1)),"DATE",IF(G29&lt;0,"OVER","OK"))))</x:f>
        <x:v>OK</x:v>
      </x:c>
      <x:c r="I29" s="20" t="str">
        <x:v>N03</x:v>
      </x:c>
    </x:row>
    <x:row r="30" ht="38" customHeight="1">
      <x:c r="A30" s="2" t="n">
        <x:v>5</x:v>
      </x:c>
      <x:c r="B30" s="22" t="n">
        <x:f>'Inputs'!B25</x:f>
        <x:v>46279</x:v>
      </x:c>
      <x:c r="C30" s="12" t="str">
        <x:v>Head of Deployment &amp; Customer Ops</x:v>
      </x:c>
      <x:c r="D30" s="12" t="str">
        <x:v>All projects</x:v>
      </x:c>
      <x:c r="E30" s="8" t="n">
        <x:f>IF(COUNTBLANK('Inputs'!C25)&gt;0,"",'Inputs'!C25)</x:f>
        <x:v>0.5</x:v>
      </x:c>
      <x:c r="F30" s="8" t="n">
        <x:f>SUMIFS('Work log'!$F$6:$F$74,'Work log'!$D$6:$D$74,C30,'Work log'!$B$6:$B$74,A30,'Work log'!$E$6:$E$74,"&lt;&gt;Coverage")</x:f>
        <x:v>0.5</x:v>
      </x:c>
      <x:c r="G30" s="8" t="n">
        <x:f>IF(ISNUMBER(E30),E30-F30,"")</x:f>
        <x:v>0</x:v>
      </x:c>
      <x:c r="H30" s="2" t="str">
        <x:f>IF(NOT(ISNUMBER(E30)),"MISSING",IF(E30&lt;0,"INVALID",IF(OR(B30&lt;'Inputs'!$B$14,B30&gt;'Inputs'!$B$15,WEEKDAY(B30,2)&gt;5,B30&lt;&gt;WORKDAY('Inputs'!$B$14,A30-1)),"DATE",IF(G30&lt;0,"OVER","OK"))))</x:f>
        <x:v>OK</x:v>
      </x:c>
      <x:c r="I30" s="2" t="str">
        <x:v>H06</x:v>
      </x:c>
    </x:row>
    <x:row r="31" ht="38" customHeight="1">
      <x:c r="A31" s="2" t="n">
        <x:v>5</x:v>
      </x:c>
      <x:c r="B31" s="22" t="n">
        <x:f>'Inputs'!B25</x:f>
        <x:v>46279</x:v>
      </x:c>
      <x:c r="C31" s="12" t="str">
        <x:v>Priya Chandrasekaran</x:v>
      </x:c>
      <x:c r="D31" s="12" t="str">
        <x:v>All projects</x:v>
      </x:c>
      <x:c r="E31" s="8" t="n">
        <x:f>IF(COUNTBLANK('Inputs'!D25)&gt;0,"",'Inputs'!D25)</x:f>
        <x:v>4</x:v>
      </x:c>
      <x:c r="F31" s="8" t="n">
        <x:f>SUMIFS('Work log'!$F$6:$F$74,'Work log'!$D$6:$D$74,C31,'Work log'!$B$6:$B$74,A31,'Work log'!$E$6:$E$74,"&lt;&gt;Coverage")</x:f>
        <x:v>2</x:v>
      </x:c>
      <x:c r="G31" s="8" t="n">
        <x:f>IF(ISNUMBER(E31),E31-F31,"")</x:f>
        <x:v>2</x:v>
      </x:c>
      <x:c r="H31" s="2" t="str">
        <x:f>IF(NOT(ISNUMBER(E31)),"MISSING",IF(E31&lt;0,"INVALID",IF(OR(B31&lt;'Inputs'!$B$14,B31&gt;'Inputs'!$B$15,WEEKDAY(B31,2)&gt;5,B31&lt;&gt;WORKDAY('Inputs'!$B$14,A31-1)),"DATE",IF(G31&lt;0,"OVER","OK"))))</x:f>
        <x:v>OK</x:v>
      </x:c>
      <x:c r="I31" s="2" t="str">
        <x:v>P07</x:v>
      </x:c>
    </x:row>
    <x:row r="32" ht="38" customHeight="1">
      <x:c r="A32" s="2" t="n">
        <x:v>5</x:v>
      </x:c>
      <x:c r="B32" s="22" t="n">
        <x:f>'Inputs'!B25</x:f>
        <x:v>46279</x:v>
      </x:c>
      <x:c r="C32" s="12" t="str">
        <x:v>Jordan Kwan</x:v>
      </x:c>
      <x:c r="D32" s="12" t="str">
        <x:v>All projects</x:v>
      </x:c>
      <x:c r="E32" s="8" t="n">
        <x:f>IF(COUNTBLANK('Inputs'!E25)&gt;0,"",'Inputs'!E25)</x:f>
        <x:v>2</x:v>
      </x:c>
      <x:c r="F32" s="8" t="n">
        <x:f>SUMIFS('Work log'!$F$6:$F$74,'Work log'!$D$6:$D$74,C32,'Work log'!$B$6:$B$74,A32,'Work log'!$E$6:$E$74,"&lt;&gt;Coverage")</x:f>
        <x:v>1.5</x:v>
      </x:c>
      <x:c r="G32" s="8" t="n">
        <x:f>IF(ISNUMBER(E32),E32-F32,"")</x:f>
        <x:v>0.5</x:v>
      </x:c>
      <x:c r="H32" s="2" t="str">
        <x:f>IF(NOT(ISNUMBER(E32)),"MISSING",IF(E32&lt;0,"INVALID",IF(OR(B32&lt;'Inputs'!$B$14,B32&gt;'Inputs'!$B$15,WEEKDAY(B32,2)&gt;5,B32&lt;&gt;WORKDAY('Inputs'!$B$14,A32-1)),"DATE",IF(G32&lt;0,"OVER","OK"))))</x:f>
        <x:v>OK</x:v>
      </x:c>
      <x:c r="I32" s="2" t="str">
        <x:v>J10</x:v>
      </x:c>
    </x:row>
    <x:row r="33" ht="38" customHeight="1">
      <x:c r="A33" s="2" t="n">
        <x:v>5</x:v>
      </x:c>
      <x:c r="B33" s="22" t="n">
        <x:f>'Inputs'!B25</x:f>
        <x:v>46279</x:v>
      </x:c>
      <x:c r="C33" s="12" t="str">
        <x:v>Diego Marsh</x:v>
      </x:c>
      <x:c r="D33" s="12" t="str">
        <x:v>Project only</x:v>
      </x:c>
      <x:c r="E33" s="8" t="n">
        <x:f>IF(COUNTBLANK('Inputs'!F25)&gt;0,"",'Inputs'!F25)</x:f>
        <x:v>2</x:v>
      </x:c>
      <x:c r="F33" s="8" t="n">
        <x:f>SUMIFS('Work log'!$F$6:$F$74,'Work log'!$D$6:$D$74,C33,'Work log'!$B$6:$B$74,A33,'Work log'!$E$6:$E$74,"&lt;&gt;Coverage")</x:f>
        <x:v>1</x:v>
      </x:c>
      <x:c r="G33" s="8" t="n">
        <x:f>IF(ISNUMBER(E33),E33-F33,"")</x:f>
        <x:v>1</x:v>
      </x:c>
      <x:c r="H33" s="2" t="str">
        <x:f>IF(NOT(ISNUMBER(E33)),"MISSING",IF(E33&lt;0,"INVALID",IF(OR(B33&lt;'Inputs'!$B$14,B33&gt;'Inputs'!$B$15,WEEKDAY(B33,2)&gt;5,B33&lt;&gt;WORKDAY('Inputs'!$B$14,A33-1)),"DATE",IF(G33&lt;0,"OVER","OK"))))</x:f>
        <x:v>OK</x:v>
      </x:c>
      <x:c r="I33" s="2" t="str">
        <x:v>D09</x:v>
      </x:c>
    </x:row>
    <x:row r="34" ht="38" customHeight="1">
      <x:c r="A34" s="2" t="n">
        <x:v>5</x:v>
      </x:c>
      <x:c r="B34" s="22" t="n">
        <x:f>'Inputs'!B25</x:f>
        <x:v>46279</x:v>
      </x:c>
      <x:c r="C34" s="12" t="str">
        <x:v>Diego Marsh</x:v>
      </x:c>
      <x:c r="D34" s="12" t="str">
        <x:v>Protected coverage</x:v>
      </x:c>
      <x:c r="E34" s="8" t="n">
        <x:f>IF(COUNTBLANK('Inputs'!G25)&gt;0,"",'Inputs'!G25)</x:f>
        <x:v>1</x:v>
      </x:c>
      <x:c r="F34" s="8" t="n">
        <x:f>SUMIFS('Work log'!$F$6:$F$74,'Work log'!$D$6:$D$74,C34,'Work log'!$B$6:$B$74,A34,'Work log'!$E$6:$E$74,"Coverage")</x:f>
        <x:v>1</x:v>
      </x:c>
      <x:c r="G34" s="8" t="n">
        <x:f>IF(ISNUMBER(E34),E34-F34,"")</x:f>
        <x:v>0</x:v>
      </x:c>
      <x:c r="H34" s="2" t="str">
        <x:f>IF(NOT(ISNUMBER(E34)),"MISSING",IF(E34&lt;0,"INVALID",IF(OR(B34&lt;'Inputs'!$B$14,B34&gt;'Inputs'!$B$15,WEEKDAY(B34,2)&gt;5,B34&lt;&gt;WORKDAY('Inputs'!$B$14,A34-1)),"DATE",IF(G34&lt;0,"OVER","OK"))))</x:f>
        <x:v>OK</x:v>
      </x:c>
      <x:c r="I34" s="2" t="str">
        <x:v>Q05</x:v>
      </x:c>
    </x:row>
    <x:row r="35" ht="38" customHeight="1">
      <x:c r="A35" s="2" t="n">
        <x:v>5</x:v>
      </x:c>
      <x:c r="B35" s="22" t="n">
        <x:f>'Inputs'!B25</x:f>
        <x:v>46279</x:v>
      </x:c>
      <x:c r="C35" s="12" t="str">
        <x:v>Nate Osei</x:v>
      </x:c>
      <x:c r="D35" s="12" t="str">
        <x:v>Ephrata only</x:v>
      </x:c>
      <x:c r="E35" s="8" t="n">
        <x:f>IF(COUNTBLANK('Inputs'!H25)&gt;0,"",'Inputs'!H25)</x:f>
        <x:v>0</x:v>
      </x:c>
      <x:c r="F35" s="8" t="n">
        <x:f>SUMIFS('Work log'!$F$6:$F$74,'Work log'!$D$6:$D$74,C35,'Work log'!$B$6:$B$74,A35,'Work log'!$E$6:$E$74,"&lt;&gt;Coverage")</x:f>
        <x:v>0</x:v>
      </x:c>
      <x:c r="G35" s="8" t="n">
        <x:f>IF(ISNUMBER(E35),E35-F35,"")</x:f>
        <x:v>0</x:v>
      </x:c>
      <x:c r="H35" s="2" t="str">
        <x:f>IF(NOT(ISNUMBER(E35)),"MISSING",IF(E35&lt;0,"INVALID",IF(OR(B35&lt;'Inputs'!$B$14,B35&gt;'Inputs'!$B$15,WEEKDAY(B35,2)&gt;5,B35&lt;&gt;WORKDAY('Inputs'!$B$14,A35-1)),"DATE",IF(G35&lt;0,"OVER","OK"))))</x:f>
        <x:v>OK</x:v>
      </x:c>
      <x:c r="I35" s="2" t="str">
        <x:v>No booked project work</x:v>
      </x:c>
    </x:row>
    <x:row r="36" ht="38" customHeight="1">
      <x:c r="A36" s="20" t="n">
        <x:v>6</x:v>
      </x:c>
      <x:c r="B36" s="23" t="n">
        <x:f>'Inputs'!B26</x:f>
        <x:v>46280</x:v>
      </x:c>
      <x:c r="C36" s="25" t="str">
        <x:v>Head of Deployment &amp; Customer Ops</x:v>
      </x:c>
      <x:c r="D36" s="25" t="str">
        <x:v>All projects</x:v>
      </x:c>
      <x:c r="E36" s="24" t="n">
        <x:f>IF(COUNTBLANK('Inputs'!C26)&gt;0,"",'Inputs'!C26)</x:f>
        <x:v>0.75</x:v>
      </x:c>
      <x:c r="F36" s="24" t="n">
        <x:f>SUMIFS('Work log'!$F$6:$F$74,'Work log'!$D$6:$D$74,C36,'Work log'!$B$6:$B$74,A36,'Work log'!$E$6:$E$74,"&lt;&gt;Coverage")</x:f>
        <x:v>0.5</x:v>
      </x:c>
      <x:c r="G36" s="24" t="n">
        <x:f>IF(ISNUMBER(E36),E36-F36,"")</x:f>
        <x:v>0.25</x:v>
      </x:c>
      <x:c r="H36" s="20" t="str">
        <x:f>IF(NOT(ISNUMBER(E36)),"MISSING",IF(E36&lt;0,"INVALID",IF(OR(B36&lt;'Inputs'!$B$14,B36&gt;'Inputs'!$B$15,WEEKDAY(B36,2)&gt;5,B36&lt;&gt;WORKDAY('Inputs'!$B$14,A36-1)),"DATE",IF(G36&lt;0,"OVER","OK"))))</x:f>
        <x:v>OK</x:v>
      </x:c>
      <x:c r="I36" s="20" t="str">
        <x:v>H07</x:v>
      </x:c>
    </x:row>
    <x:row r="37" ht="38" customHeight="1">
      <x:c r="A37" s="20" t="n">
        <x:v>6</x:v>
      </x:c>
      <x:c r="B37" s="23" t="n">
        <x:f>'Inputs'!B26</x:f>
        <x:v>46280</x:v>
      </x:c>
      <x:c r="C37" s="25" t="str">
        <x:v>Priya Chandrasekaran</x:v>
      </x:c>
      <x:c r="D37" s="25" t="str">
        <x:v>All projects</x:v>
      </x:c>
      <x:c r="E37" s="24" t="n">
        <x:f>IF(COUNTBLANK('Inputs'!D26)&gt;0,"",'Inputs'!D26)</x:f>
        <x:v>4</x:v>
      </x:c>
      <x:c r="F37" s="24" t="n">
        <x:f>SUMIFS('Work log'!$F$6:$F$74,'Work log'!$D$6:$D$74,C37,'Work log'!$B$6:$B$74,A37,'Work log'!$E$6:$E$74,"&lt;&gt;Coverage")</x:f>
        <x:v>1</x:v>
      </x:c>
      <x:c r="G37" s="24" t="n">
        <x:f>IF(ISNUMBER(E37),E37-F37,"")</x:f>
        <x:v>3</x:v>
      </x:c>
      <x:c r="H37" s="20" t="str">
        <x:f>IF(NOT(ISNUMBER(E37)),"MISSING",IF(E37&lt;0,"INVALID",IF(OR(B37&lt;'Inputs'!$B$14,B37&gt;'Inputs'!$B$15,WEEKDAY(B37,2)&gt;5,B37&lt;&gt;WORKDAY('Inputs'!$B$14,A37-1)),"DATE",IF(G37&lt;0,"OVER","OK"))))</x:f>
        <x:v>OK</x:v>
      </x:c>
      <x:c r="I37" s="20" t="str">
        <x:v>P08</x:v>
      </x:c>
    </x:row>
    <x:row r="38" ht="38" customHeight="1">
      <x:c r="A38" s="20" t="n">
        <x:v>6</x:v>
      </x:c>
      <x:c r="B38" s="23" t="n">
        <x:f>'Inputs'!B26</x:f>
        <x:v>46280</x:v>
      </x:c>
      <x:c r="C38" s="25" t="str">
        <x:v>Jordan Kwan</x:v>
      </x:c>
      <x:c r="D38" s="25" t="str">
        <x:v>All projects</x:v>
      </x:c>
      <x:c r="E38" s="24" t="n">
        <x:f>IF(COUNTBLANK('Inputs'!E26)&gt;0,"",'Inputs'!E26)</x:f>
        <x:v>2</x:v>
      </x:c>
      <x:c r="F38" s="24" t="n">
        <x:f>SUMIFS('Work log'!$F$6:$F$74,'Work log'!$D$6:$D$74,C38,'Work log'!$B$6:$B$74,A38,'Work log'!$E$6:$E$74,"&lt;&gt;Coverage")</x:f>
        <x:v>1</x:v>
      </x:c>
      <x:c r="G38" s="24" t="n">
        <x:f>IF(ISNUMBER(E38),E38-F38,"")</x:f>
        <x:v>1</x:v>
      </x:c>
      <x:c r="H38" s="20" t="str">
        <x:f>IF(NOT(ISNUMBER(E38)),"MISSING",IF(E38&lt;0,"INVALID",IF(OR(B38&lt;'Inputs'!$B$14,B38&gt;'Inputs'!$B$15,WEEKDAY(B38,2)&gt;5,B38&lt;&gt;WORKDAY('Inputs'!$B$14,A38-1)),"DATE",IF(G38&lt;0,"OVER","OK"))))</x:f>
        <x:v>OK</x:v>
      </x:c>
      <x:c r="I38" s="20" t="str">
        <x:v>J11</x:v>
      </x:c>
    </x:row>
    <x:row r="39" ht="38" customHeight="1">
      <x:c r="A39" s="20" t="n">
        <x:v>6</x:v>
      </x:c>
      <x:c r="B39" s="23" t="n">
        <x:f>'Inputs'!B26</x:f>
        <x:v>46280</x:v>
      </x:c>
      <x:c r="C39" s="25" t="str">
        <x:v>Diego Marsh</x:v>
      </x:c>
      <x:c r="D39" s="25" t="str">
        <x:v>Project only</x:v>
      </x:c>
      <x:c r="E39" s="24" t="n">
        <x:f>IF(COUNTBLANK('Inputs'!F26)&gt;0,"",'Inputs'!F26)</x:f>
        <x:v>2</x:v>
      </x:c>
      <x:c r="F39" s="24" t="n">
        <x:f>SUMIFS('Work log'!$F$6:$F$74,'Work log'!$D$6:$D$74,C39,'Work log'!$B$6:$B$74,A39,'Work log'!$E$6:$E$74,"&lt;&gt;Coverage")</x:f>
        <x:v>1</x:v>
      </x:c>
      <x:c r="G39" s="24" t="n">
        <x:f>IF(ISNUMBER(E39),E39-F39,"")</x:f>
        <x:v>1</x:v>
      </x:c>
      <x:c r="H39" s="20" t="str">
        <x:f>IF(NOT(ISNUMBER(E39)),"MISSING",IF(E39&lt;0,"INVALID",IF(OR(B39&lt;'Inputs'!$B$14,B39&gt;'Inputs'!$B$15,WEEKDAY(B39,2)&gt;5,B39&lt;&gt;WORKDAY('Inputs'!$B$14,A39-1)),"DATE",IF(G39&lt;0,"OVER","OK"))))</x:f>
        <x:v>OK</x:v>
      </x:c>
      <x:c r="I39" s="20" t="str">
        <x:v>D10</x:v>
      </x:c>
    </x:row>
    <x:row r="40" ht="38" customHeight="1">
      <x:c r="A40" s="20" t="n">
        <x:v>6</x:v>
      </x:c>
      <x:c r="B40" s="23" t="n">
        <x:f>'Inputs'!B26</x:f>
        <x:v>46280</x:v>
      </x:c>
      <x:c r="C40" s="25" t="str">
        <x:v>Diego Marsh</x:v>
      </x:c>
      <x:c r="D40" s="25" t="str">
        <x:v>Protected coverage</x:v>
      </x:c>
      <x:c r="E40" s="24" t="n">
        <x:f>IF(COUNTBLANK('Inputs'!G26)&gt;0,"",'Inputs'!G26)</x:f>
        <x:v>1</x:v>
      </x:c>
      <x:c r="F40" s="24" t="n">
        <x:f>SUMIFS('Work log'!$F$6:$F$74,'Work log'!$D$6:$D$74,C40,'Work log'!$B$6:$B$74,A40,'Work log'!$E$6:$E$74,"Coverage")</x:f>
        <x:v>1</x:v>
      </x:c>
      <x:c r="G40" s="24" t="n">
        <x:f>IF(ISNUMBER(E40),E40-F40,"")</x:f>
        <x:v>0</x:v>
      </x:c>
      <x:c r="H40" s="20" t="str">
        <x:f>IF(NOT(ISNUMBER(E40)),"MISSING",IF(E40&lt;0,"INVALID",IF(OR(B40&lt;'Inputs'!$B$14,B40&gt;'Inputs'!$B$15,WEEKDAY(B40,2)&gt;5,B40&lt;&gt;WORKDAY('Inputs'!$B$14,A40-1)),"DATE",IF(G40&lt;0,"OVER","OK"))))</x:f>
        <x:v>OK</x:v>
      </x:c>
      <x:c r="I40" s="20" t="str">
        <x:v>Q06</x:v>
      </x:c>
    </x:row>
    <x:row r="41" ht="38" customHeight="1">
      <x:c r="A41" s="20" t="n">
        <x:v>6</x:v>
      </x:c>
      <x:c r="B41" s="23" t="n">
        <x:f>'Inputs'!B26</x:f>
        <x:v>46280</x:v>
      </x:c>
      <x:c r="C41" s="25" t="str">
        <x:v>Nate Osei</x:v>
      </x:c>
      <x:c r="D41" s="25" t="str">
        <x:v>Ephrata only</x:v>
      </x:c>
      <x:c r="E41" s="24" t="n">
        <x:f>IF(COUNTBLANK('Inputs'!H26)&gt;0,"",'Inputs'!H26)</x:f>
        <x:v>0</x:v>
      </x:c>
      <x:c r="F41" s="24" t="n">
        <x:f>SUMIFS('Work log'!$F$6:$F$74,'Work log'!$D$6:$D$74,C41,'Work log'!$B$6:$B$74,A41,'Work log'!$E$6:$E$74,"&lt;&gt;Coverage")</x:f>
        <x:v>0</x:v>
      </x:c>
      <x:c r="G41" s="24" t="n">
        <x:f>IF(ISNUMBER(E41),E41-F41,"")</x:f>
        <x:v>0</x:v>
      </x:c>
      <x:c r="H41" s="20" t="str">
        <x:f>IF(NOT(ISNUMBER(E41)),"MISSING",IF(E41&lt;0,"INVALID",IF(OR(B41&lt;'Inputs'!$B$14,B41&gt;'Inputs'!$B$15,WEEKDAY(B41,2)&gt;5,B41&lt;&gt;WORKDAY('Inputs'!$B$14,A41-1)),"DATE",IF(G41&lt;0,"OVER","OK"))))</x:f>
        <x:v>OK</x:v>
      </x:c>
      <x:c r="I41" s="20" t="str">
        <x:v>No booked project work</x:v>
      </x:c>
    </x:row>
    <x:row r="42" ht="38" customHeight="1">
      <x:c r="A42" s="2" t="n">
        <x:v>7</x:v>
      </x:c>
      <x:c r="B42" s="22" t="n">
        <x:f>'Inputs'!B27</x:f>
        <x:v>46281</x:v>
      </x:c>
      <x:c r="C42" s="12" t="str">
        <x:v>Head of Deployment &amp; Customer Ops</x:v>
      </x:c>
      <x:c r="D42" s="12" t="str">
        <x:v>All projects</x:v>
      </x:c>
      <x:c r="E42" s="8" t="n">
        <x:f>IF(COUNTBLANK('Inputs'!C27)&gt;0,"",'Inputs'!C27)</x:f>
        <x:v>0.5</x:v>
      </x:c>
      <x:c r="F42" s="8" t="n">
        <x:f>SUMIFS('Work log'!$F$6:$F$74,'Work log'!$D$6:$D$74,C42,'Work log'!$B$6:$B$74,A42,'Work log'!$E$6:$E$74,"&lt;&gt;Coverage")</x:f>
        <x:v>0.5</x:v>
      </x:c>
      <x:c r="G42" s="8" t="n">
        <x:f>IF(ISNUMBER(E42),E42-F42,"")</x:f>
        <x:v>0</x:v>
      </x:c>
      <x:c r="H42" s="2" t="str">
        <x:f>IF(NOT(ISNUMBER(E42)),"MISSING",IF(E42&lt;0,"INVALID",IF(OR(B42&lt;'Inputs'!$B$14,B42&gt;'Inputs'!$B$15,WEEKDAY(B42,2)&gt;5,B42&lt;&gt;WORKDAY('Inputs'!$B$14,A42-1)),"DATE",IF(G42&lt;0,"OVER","OK"))))</x:f>
        <x:v>OK</x:v>
      </x:c>
      <x:c r="I42" s="2" t="str">
        <x:v>H08</x:v>
      </x:c>
    </x:row>
    <x:row r="43" ht="38" customHeight="1">
      <x:c r="A43" s="2" t="n">
        <x:v>7</x:v>
      </x:c>
      <x:c r="B43" s="22" t="n">
        <x:f>'Inputs'!B27</x:f>
        <x:v>46281</x:v>
      </x:c>
      <x:c r="C43" s="12" t="str">
        <x:v>Priya Chandrasekaran</x:v>
      </x:c>
      <x:c r="D43" s="12" t="str">
        <x:v>All projects</x:v>
      </x:c>
      <x:c r="E43" s="8" t="n">
        <x:f>IF(COUNTBLANK('Inputs'!D27)&gt;0,"",'Inputs'!D27)</x:f>
        <x:v>3</x:v>
      </x:c>
      <x:c r="F43" s="8" t="n">
        <x:f>SUMIFS('Work log'!$F$6:$F$74,'Work log'!$D$6:$D$74,C43,'Work log'!$B$6:$B$74,A43,'Work log'!$E$6:$E$74,"&lt;&gt;Coverage")</x:f>
        <x:v>2</x:v>
      </x:c>
      <x:c r="G43" s="8" t="n">
        <x:f>IF(ISNUMBER(E43),E43-F43,"")</x:f>
        <x:v>1</x:v>
      </x:c>
      <x:c r="H43" s="2" t="str">
        <x:f>IF(NOT(ISNUMBER(E43)),"MISSING",IF(E43&lt;0,"INVALID",IF(OR(B43&lt;'Inputs'!$B$14,B43&gt;'Inputs'!$B$15,WEEKDAY(B43,2)&gt;5,B43&lt;&gt;WORKDAY('Inputs'!$B$14,A43-1)),"DATE",IF(G43&lt;0,"OVER","OK"))))</x:f>
        <x:v>OK</x:v>
      </x:c>
      <x:c r="I43" s="2" t="str">
        <x:v>P09, P10</x:v>
      </x:c>
    </x:row>
    <x:row r="44" ht="38" customHeight="1">
      <x:c r="A44" s="2" t="n">
        <x:v>7</x:v>
      </x:c>
      <x:c r="B44" s="22" t="n">
        <x:f>'Inputs'!B27</x:f>
        <x:v>46281</x:v>
      </x:c>
      <x:c r="C44" s="12" t="str">
        <x:v>Jordan Kwan</x:v>
      </x:c>
      <x:c r="D44" s="12" t="str">
        <x:v>All projects</x:v>
      </x:c>
      <x:c r="E44" s="8" t="n">
        <x:f>IF(COUNTBLANK('Inputs'!E27)&gt;0,"",'Inputs'!E27)</x:f>
        <x:v>2</x:v>
      </x:c>
      <x:c r="F44" s="8" t="n">
        <x:f>SUMIFS('Work log'!$F$6:$F$74,'Work log'!$D$6:$D$74,C44,'Work log'!$B$6:$B$74,A44,'Work log'!$E$6:$E$74,"&lt;&gt;Coverage")</x:f>
        <x:v>1</x:v>
      </x:c>
      <x:c r="G44" s="8" t="n">
        <x:f>IF(ISNUMBER(E44),E44-F44,"")</x:f>
        <x:v>1</x:v>
      </x:c>
      <x:c r="H44" s="2" t="str">
        <x:f>IF(NOT(ISNUMBER(E44)),"MISSING",IF(E44&lt;0,"INVALID",IF(OR(B44&lt;'Inputs'!$B$14,B44&gt;'Inputs'!$B$15,WEEKDAY(B44,2)&gt;5,B44&lt;&gt;WORKDAY('Inputs'!$B$14,A44-1)),"DATE",IF(G44&lt;0,"OVER","OK"))))</x:f>
        <x:v>OK</x:v>
      </x:c>
      <x:c r="I44" s="2" t="str">
        <x:v>J12</x:v>
      </x:c>
    </x:row>
    <x:row r="45" ht="38" customHeight="1">
      <x:c r="A45" s="2" t="n">
        <x:v>7</x:v>
      </x:c>
      <x:c r="B45" s="22" t="n">
        <x:f>'Inputs'!B27</x:f>
        <x:v>46281</x:v>
      </x:c>
      <x:c r="C45" s="12" t="str">
        <x:v>Diego Marsh</x:v>
      </x:c>
      <x:c r="D45" s="12" t="str">
        <x:v>Project only</x:v>
      </x:c>
      <x:c r="E45" s="8" t="n">
        <x:f>IF(COUNTBLANK('Inputs'!F27)&gt;0,"",'Inputs'!F27)</x:f>
        <x:v>2</x:v>
      </x:c>
      <x:c r="F45" s="8" t="n">
        <x:f>SUMIFS('Work log'!$F$6:$F$74,'Work log'!$D$6:$D$74,C45,'Work log'!$B$6:$B$74,A45,'Work log'!$E$6:$E$74,"&lt;&gt;Coverage")</x:f>
        <x:v>1</x:v>
      </x:c>
      <x:c r="G45" s="8" t="n">
        <x:f>IF(ISNUMBER(E45),E45-F45,"")</x:f>
        <x:v>1</x:v>
      </x:c>
      <x:c r="H45" s="2" t="str">
        <x:f>IF(NOT(ISNUMBER(E45)),"MISSING",IF(E45&lt;0,"INVALID",IF(OR(B45&lt;'Inputs'!$B$14,B45&gt;'Inputs'!$B$15,WEEKDAY(B45,2)&gt;5,B45&lt;&gt;WORKDAY('Inputs'!$B$14,A45-1)),"DATE",IF(G45&lt;0,"OVER","OK"))))</x:f>
        <x:v>OK</x:v>
      </x:c>
      <x:c r="I45" s="2" t="str">
        <x:v>D11</x:v>
      </x:c>
    </x:row>
    <x:row r="46" ht="38" customHeight="1">
      <x:c r="A46" s="2" t="n">
        <x:v>7</x:v>
      </x:c>
      <x:c r="B46" s="22" t="n">
        <x:f>'Inputs'!B27</x:f>
        <x:v>46281</x:v>
      </x:c>
      <x:c r="C46" s="12" t="str">
        <x:v>Diego Marsh</x:v>
      </x:c>
      <x:c r="D46" s="12" t="str">
        <x:v>Protected coverage</x:v>
      </x:c>
      <x:c r="E46" s="8" t="n">
        <x:f>IF(COUNTBLANK('Inputs'!G27)&gt;0,"",'Inputs'!G27)</x:f>
        <x:v>1</x:v>
      </x:c>
      <x:c r="F46" s="8" t="n">
        <x:f>SUMIFS('Work log'!$F$6:$F$74,'Work log'!$D$6:$D$74,C46,'Work log'!$B$6:$B$74,A46,'Work log'!$E$6:$E$74,"Coverage")</x:f>
        <x:v>1</x:v>
      </x:c>
      <x:c r="G46" s="8" t="n">
        <x:f>IF(ISNUMBER(E46),E46-F46,"")</x:f>
        <x:v>0</x:v>
      </x:c>
      <x:c r="H46" s="2" t="str">
        <x:f>IF(NOT(ISNUMBER(E46)),"MISSING",IF(E46&lt;0,"INVALID",IF(OR(B46&lt;'Inputs'!$B$14,B46&gt;'Inputs'!$B$15,WEEKDAY(B46,2)&gt;5,B46&lt;&gt;WORKDAY('Inputs'!$B$14,A46-1)),"DATE",IF(G46&lt;0,"OVER","OK"))))</x:f>
        <x:v>OK</x:v>
      </x:c>
      <x:c r="I46" s="2" t="str">
        <x:v>Q07</x:v>
      </x:c>
    </x:row>
    <x:row r="47" ht="38" customHeight="1">
      <x:c r="A47" s="2" t="n">
        <x:v>7</x:v>
      </x:c>
      <x:c r="B47" s="22" t="n">
        <x:f>'Inputs'!B27</x:f>
        <x:v>46281</x:v>
      </x:c>
      <x:c r="C47" s="12" t="str">
        <x:v>Nate Osei</x:v>
      </x:c>
      <x:c r="D47" s="12" t="str">
        <x:v>Ephrata only</x:v>
      </x:c>
      <x:c r="E47" s="8" t="n">
        <x:f>IF(COUNTBLANK('Inputs'!H27)&gt;0,"",'Inputs'!H27)</x:f>
        <x:v>0</x:v>
      </x:c>
      <x:c r="F47" s="8" t="n">
        <x:f>SUMIFS('Work log'!$F$6:$F$74,'Work log'!$D$6:$D$74,C47,'Work log'!$B$6:$B$74,A47,'Work log'!$E$6:$E$74,"&lt;&gt;Coverage")</x:f>
        <x:v>0</x:v>
      </x:c>
      <x:c r="G47" s="8" t="n">
        <x:f>IF(ISNUMBER(E47),E47-F47,"")</x:f>
        <x:v>0</x:v>
      </x:c>
      <x:c r="H47" s="2" t="str">
        <x:f>IF(NOT(ISNUMBER(E47)),"MISSING",IF(E47&lt;0,"INVALID",IF(OR(B47&lt;'Inputs'!$B$14,B47&gt;'Inputs'!$B$15,WEEKDAY(B47,2)&gt;5,B47&lt;&gt;WORKDAY('Inputs'!$B$14,A47-1)),"DATE",IF(G47&lt;0,"OVER","OK"))))</x:f>
        <x:v>OK</x:v>
      </x:c>
      <x:c r="I47" s="2" t="str">
        <x:v>No booked project work</x:v>
      </x:c>
    </x:row>
    <x:row r="48" ht="38" customHeight="1">
      <x:c r="A48" s="20" t="n">
        <x:v>8</x:v>
      </x:c>
      <x:c r="B48" s="23" t="n">
        <x:f>'Inputs'!B28</x:f>
        <x:v>46282</x:v>
      </x:c>
      <x:c r="C48" s="25" t="str">
        <x:v>Head of Deployment &amp; Customer Ops</x:v>
      </x:c>
      <x:c r="D48" s="25" t="str">
        <x:v>All projects</x:v>
      </x:c>
      <x:c r="E48" s="24" t="n">
        <x:f>IF(COUNTBLANK('Inputs'!C28)&gt;0,"",'Inputs'!C28)</x:f>
        <x:v>0.75</x:v>
      </x:c>
      <x:c r="F48" s="24" t="n">
        <x:f>SUMIFS('Work log'!$F$6:$F$74,'Work log'!$D$6:$D$74,C48,'Work log'!$B$6:$B$74,A48,'Work log'!$E$6:$E$74,"&lt;&gt;Coverage")</x:f>
        <x:v>0.5</x:v>
      </x:c>
      <x:c r="G48" s="24" t="n">
        <x:f>IF(ISNUMBER(E48),E48-F48,"")</x:f>
        <x:v>0.25</x:v>
      </x:c>
      <x:c r="H48" s="20" t="str">
        <x:f>IF(NOT(ISNUMBER(E48)),"MISSING",IF(E48&lt;0,"INVALID",IF(OR(B48&lt;'Inputs'!$B$14,B48&gt;'Inputs'!$B$15,WEEKDAY(B48,2)&gt;5,B48&lt;&gt;WORKDAY('Inputs'!$B$14,A48-1)),"DATE",IF(G48&lt;0,"OVER","OK"))))</x:f>
        <x:v>OK</x:v>
      </x:c>
      <x:c r="I48" s="20" t="str">
        <x:v>H09</x:v>
      </x:c>
    </x:row>
    <x:row r="49" ht="38" customHeight="1">
      <x:c r="A49" s="20" t="n">
        <x:v>8</x:v>
      </x:c>
      <x:c r="B49" s="23" t="n">
        <x:f>'Inputs'!B28</x:f>
        <x:v>46282</x:v>
      </x:c>
      <x:c r="C49" s="25" t="str">
        <x:v>Priya Chandrasekaran</x:v>
      </x:c>
      <x:c r="D49" s="25" t="str">
        <x:v>All projects</x:v>
      </x:c>
      <x:c r="E49" s="24" t="n">
        <x:f>IF(COUNTBLANK('Inputs'!D28)&gt;0,"",'Inputs'!D28)</x:f>
        <x:v>3</x:v>
      </x:c>
      <x:c r="F49" s="24" t="n">
        <x:f>SUMIFS('Work log'!$F$6:$F$74,'Work log'!$D$6:$D$74,C49,'Work log'!$B$6:$B$74,A49,'Work log'!$E$6:$E$74,"&lt;&gt;Coverage")</x:f>
        <x:v>1</x:v>
      </x:c>
      <x:c r="G49" s="24" t="n">
        <x:f>IF(ISNUMBER(E49),E49-F49,"")</x:f>
        <x:v>2</x:v>
      </x:c>
      <x:c r="H49" s="20" t="str">
        <x:f>IF(NOT(ISNUMBER(E49)),"MISSING",IF(E49&lt;0,"INVALID",IF(OR(B49&lt;'Inputs'!$B$14,B49&gt;'Inputs'!$B$15,WEEKDAY(B49,2)&gt;5,B49&lt;&gt;WORKDAY('Inputs'!$B$14,A49-1)),"DATE",IF(G49&lt;0,"OVER","OK"))))</x:f>
        <x:v>OK</x:v>
      </x:c>
      <x:c r="I49" s="20" t="str">
        <x:v>P11</x:v>
      </x:c>
    </x:row>
    <x:row r="50" ht="38" customHeight="1">
      <x:c r="A50" s="20" t="n">
        <x:v>8</x:v>
      </x:c>
      <x:c r="B50" s="23" t="n">
        <x:f>'Inputs'!B28</x:f>
        <x:v>46282</x:v>
      </x:c>
      <x:c r="C50" s="25" t="str">
        <x:v>Jordan Kwan</x:v>
      </x:c>
      <x:c r="D50" s="25" t="str">
        <x:v>All projects</x:v>
      </x:c>
      <x:c r="E50" s="24" t="n">
        <x:f>IF(COUNTBLANK('Inputs'!E28)&gt;0,"",'Inputs'!E28)</x:f>
        <x:v>3</x:v>
      </x:c>
      <x:c r="F50" s="24" t="n">
        <x:f>SUMIFS('Work log'!$F$6:$F$74,'Work log'!$D$6:$D$74,C50,'Work log'!$B$6:$B$74,A50,'Work log'!$E$6:$E$74,"&lt;&gt;Coverage")</x:f>
        <x:v>1</x:v>
      </x:c>
      <x:c r="G50" s="24" t="n">
        <x:f>IF(ISNUMBER(E50),E50-F50,"")</x:f>
        <x:v>2</x:v>
      </x:c>
      <x:c r="H50" s="20" t="str">
        <x:f>IF(NOT(ISNUMBER(E50)),"MISSING",IF(E50&lt;0,"INVALID",IF(OR(B50&lt;'Inputs'!$B$14,B50&gt;'Inputs'!$B$15,WEEKDAY(B50,2)&gt;5,B50&lt;&gt;WORKDAY('Inputs'!$B$14,A50-1)),"DATE",IF(G50&lt;0,"OVER","OK"))))</x:f>
        <x:v>OK</x:v>
      </x:c>
      <x:c r="I50" s="20" t="str">
        <x:v>J13</x:v>
      </x:c>
    </x:row>
    <x:row r="51" ht="38" customHeight="1">
      <x:c r="A51" s="20" t="n">
        <x:v>8</x:v>
      </x:c>
      <x:c r="B51" s="23" t="n">
        <x:f>'Inputs'!B28</x:f>
        <x:v>46282</x:v>
      </x:c>
      <x:c r="C51" s="25" t="str">
        <x:v>Diego Marsh</x:v>
      </x:c>
      <x:c r="D51" s="25" t="str">
        <x:v>Project only</x:v>
      </x:c>
      <x:c r="E51" s="24" t="n">
        <x:f>IF(COUNTBLANK('Inputs'!F28)&gt;0,"",'Inputs'!F28)</x:f>
        <x:v>2</x:v>
      </x:c>
      <x:c r="F51" s="24" t="n">
        <x:f>SUMIFS('Work log'!$F$6:$F$74,'Work log'!$D$6:$D$74,C51,'Work log'!$B$6:$B$74,A51,'Work log'!$E$6:$E$74,"&lt;&gt;Coverage")</x:f>
        <x:v>1</x:v>
      </x:c>
      <x:c r="G51" s="24" t="n">
        <x:f>IF(ISNUMBER(E51),E51-F51,"")</x:f>
        <x:v>1</x:v>
      </x:c>
      <x:c r="H51" s="20" t="str">
        <x:f>IF(NOT(ISNUMBER(E51)),"MISSING",IF(E51&lt;0,"INVALID",IF(OR(B51&lt;'Inputs'!$B$14,B51&gt;'Inputs'!$B$15,WEEKDAY(B51,2)&gt;5,B51&lt;&gt;WORKDAY('Inputs'!$B$14,A51-1)),"DATE",IF(G51&lt;0,"OVER","OK"))))</x:f>
        <x:v>OK</x:v>
      </x:c>
      <x:c r="I51" s="20" t="str">
        <x:v>D12</x:v>
      </x:c>
    </x:row>
    <x:row r="52" ht="38" customHeight="1">
      <x:c r="A52" s="20" t="n">
        <x:v>8</x:v>
      </x:c>
      <x:c r="B52" s="23" t="n">
        <x:f>'Inputs'!B28</x:f>
        <x:v>46282</x:v>
      </x:c>
      <x:c r="C52" s="25" t="str">
        <x:v>Diego Marsh</x:v>
      </x:c>
      <x:c r="D52" s="25" t="str">
        <x:v>Protected coverage</x:v>
      </x:c>
      <x:c r="E52" s="24" t="n">
        <x:f>IF(COUNTBLANK('Inputs'!G28)&gt;0,"",'Inputs'!G28)</x:f>
        <x:v>2</x:v>
      </x:c>
      <x:c r="F52" s="24" t="n">
        <x:f>SUMIFS('Work log'!$F$6:$F$74,'Work log'!$D$6:$D$74,C52,'Work log'!$B$6:$B$74,A52,'Work log'!$E$6:$E$74,"Coverage")</x:f>
        <x:v>2</x:v>
      </x:c>
      <x:c r="G52" s="24" t="n">
        <x:f>IF(ISNUMBER(E52),E52-F52,"")</x:f>
        <x:v>0</x:v>
      </x:c>
      <x:c r="H52" s="20" t="str">
        <x:f>IF(NOT(ISNUMBER(E52)),"MISSING",IF(E52&lt;0,"INVALID",IF(OR(B52&lt;'Inputs'!$B$14,B52&gt;'Inputs'!$B$15,WEEKDAY(B52,2)&gt;5,B52&lt;&gt;WORKDAY('Inputs'!$B$14,A52-1)),"DATE",IF(G52&lt;0,"OVER","OK"))))</x:f>
        <x:v>OK</x:v>
      </x:c>
      <x:c r="I52" s="20" t="str">
        <x:v>Q08</x:v>
      </x:c>
    </x:row>
    <x:row r="53" ht="38" customHeight="1">
      <x:c r="A53" s="20" t="n">
        <x:v>8</x:v>
      </x:c>
      <x:c r="B53" s="23" t="n">
        <x:f>'Inputs'!B28</x:f>
        <x:v>46282</x:v>
      </x:c>
      <x:c r="C53" s="25" t="str">
        <x:v>Nate Osei</x:v>
      </x:c>
      <x:c r="D53" s="25" t="str">
        <x:v>Ephrata only</x:v>
      </x:c>
      <x:c r="E53" s="24" t="n">
        <x:f>IF(COUNTBLANK('Inputs'!H28)&gt;0,"",'Inputs'!H28)</x:f>
        <x:v>0</x:v>
      </x:c>
      <x:c r="F53" s="24" t="n">
        <x:f>SUMIFS('Work log'!$F$6:$F$74,'Work log'!$D$6:$D$74,C53,'Work log'!$B$6:$B$74,A53,'Work log'!$E$6:$E$74,"&lt;&gt;Coverage")</x:f>
        <x:v>0</x:v>
      </x:c>
      <x:c r="G53" s="24" t="n">
        <x:f>IF(ISNUMBER(E53),E53-F53,"")</x:f>
        <x:v>0</x:v>
      </x:c>
      <x:c r="H53" s="20" t="str">
        <x:f>IF(NOT(ISNUMBER(E53)),"MISSING",IF(E53&lt;0,"INVALID",IF(OR(B53&lt;'Inputs'!$B$14,B53&gt;'Inputs'!$B$15,WEEKDAY(B53,2)&gt;5,B53&lt;&gt;WORKDAY('Inputs'!$B$14,A53-1)),"DATE",IF(G53&lt;0,"OVER","OK"))))</x:f>
        <x:v>OK</x:v>
      </x:c>
      <x:c r="I53" s="20" t="str">
        <x:v>No booked project work</x:v>
      </x:c>
    </x:row>
    <x:row r="54" ht="38" customHeight="1">
      <x:c r="A54" s="2" t="n">
        <x:v>9</x:v>
      </x:c>
      <x:c r="B54" s="22" t="n">
        <x:f>'Inputs'!B29</x:f>
        <x:v>46283</x:v>
      </x:c>
      <x:c r="C54" s="12" t="str">
        <x:v>Head of Deployment &amp; Customer Ops</x:v>
      </x:c>
      <x:c r="D54" s="12" t="str">
        <x:v>All projects</x:v>
      </x:c>
      <x:c r="E54" s="8" t="n">
        <x:f>IF(COUNTBLANK('Inputs'!C29)&gt;0,"",'Inputs'!C29)</x:f>
        <x:v>1</x:v>
      </x:c>
      <x:c r="F54" s="8" t="n">
        <x:f>SUMIFS('Work log'!$F$6:$F$74,'Work log'!$D$6:$D$74,C54,'Work log'!$B$6:$B$74,A54,'Work log'!$E$6:$E$74,"&lt;&gt;Coverage")</x:f>
        <x:v>0.5</x:v>
      </x:c>
      <x:c r="G54" s="8" t="n">
        <x:f>IF(ISNUMBER(E54),E54-F54,"")</x:f>
        <x:v>0.5</x:v>
      </x:c>
      <x:c r="H54" s="2" t="str">
        <x:f>IF(NOT(ISNUMBER(E54)),"MISSING",IF(E54&lt;0,"INVALID",IF(OR(B54&lt;'Inputs'!$B$14,B54&gt;'Inputs'!$B$15,WEEKDAY(B54,2)&gt;5,B54&lt;&gt;WORKDAY('Inputs'!$B$14,A54-1)),"DATE",IF(G54&lt;0,"OVER","OK"))))</x:f>
        <x:v>OK</x:v>
      </x:c>
      <x:c r="I54" s="2" t="str">
        <x:v>H10</x:v>
      </x:c>
    </x:row>
    <x:row r="55" ht="38" customHeight="1">
      <x:c r="A55" s="2" t="n">
        <x:v>9</x:v>
      </x:c>
      <x:c r="B55" s="22" t="n">
        <x:f>'Inputs'!B29</x:f>
        <x:v>46283</x:v>
      </x:c>
      <x:c r="C55" s="12" t="str">
        <x:v>Priya Chandrasekaran</x:v>
      </x:c>
      <x:c r="D55" s="12" t="str">
        <x:v>All projects</x:v>
      </x:c>
      <x:c r="E55" s="8" t="n">
        <x:f>IF(COUNTBLANK('Inputs'!D29)&gt;0,"",'Inputs'!D29)</x:f>
        <x:v>3</x:v>
      </x:c>
      <x:c r="F55" s="8" t="n">
        <x:f>SUMIFS('Work log'!$F$6:$F$74,'Work log'!$D$6:$D$74,C55,'Work log'!$B$6:$B$74,A55,'Work log'!$E$6:$E$74,"&lt;&gt;Coverage")</x:f>
        <x:v>1</x:v>
      </x:c>
      <x:c r="G55" s="8" t="n">
        <x:f>IF(ISNUMBER(E55),E55-F55,"")</x:f>
        <x:v>2</x:v>
      </x:c>
      <x:c r="H55" s="2" t="str">
        <x:f>IF(NOT(ISNUMBER(E55)),"MISSING",IF(E55&lt;0,"INVALID",IF(OR(B55&lt;'Inputs'!$B$14,B55&gt;'Inputs'!$B$15,WEEKDAY(B55,2)&gt;5,B55&lt;&gt;WORKDAY('Inputs'!$B$14,A55-1)),"DATE",IF(G55&lt;0,"OVER","OK"))))</x:f>
        <x:v>OK</x:v>
      </x:c>
      <x:c r="I55" s="2" t="str">
        <x:v>P12</x:v>
      </x:c>
    </x:row>
    <x:row r="56" ht="38" customHeight="1">
      <x:c r="A56" s="2" t="n">
        <x:v>9</x:v>
      </x:c>
      <x:c r="B56" s="22" t="n">
        <x:f>'Inputs'!B29</x:f>
        <x:v>46283</x:v>
      </x:c>
      <x:c r="C56" s="12" t="str">
        <x:v>Jordan Kwan</x:v>
      </x:c>
      <x:c r="D56" s="12" t="str">
        <x:v>All projects</x:v>
      </x:c>
      <x:c r="E56" s="8" t="n">
        <x:f>IF(COUNTBLANK('Inputs'!E29)&gt;0,"",'Inputs'!E29)</x:f>
        <x:v>2</x:v>
      </x:c>
      <x:c r="F56" s="8" t="n">
        <x:f>SUMIFS('Work log'!$F$6:$F$74,'Work log'!$D$6:$D$74,C56,'Work log'!$B$6:$B$74,A56,'Work log'!$E$6:$E$74,"&lt;&gt;Coverage")</x:f>
        <x:v>0.5</x:v>
      </x:c>
      <x:c r="G56" s="8" t="n">
        <x:f>IF(ISNUMBER(E56),E56-F56,"")</x:f>
        <x:v>1.5</x:v>
      </x:c>
      <x:c r="H56" s="2" t="str">
        <x:f>IF(NOT(ISNUMBER(E56)),"MISSING",IF(E56&lt;0,"INVALID",IF(OR(B56&lt;'Inputs'!$B$14,B56&gt;'Inputs'!$B$15,WEEKDAY(B56,2)&gt;5,B56&lt;&gt;WORKDAY('Inputs'!$B$14,A56-1)),"DATE",IF(G56&lt;0,"OVER","OK"))))</x:f>
        <x:v>OK</x:v>
      </x:c>
      <x:c r="I56" s="2" t="str">
        <x:v>J14</x:v>
      </x:c>
    </x:row>
    <x:row r="57" ht="38" customHeight="1">
      <x:c r="A57" s="2" t="n">
        <x:v>9</x:v>
      </x:c>
      <x:c r="B57" s="22" t="n">
        <x:f>'Inputs'!B29</x:f>
        <x:v>46283</x:v>
      </x:c>
      <x:c r="C57" s="12" t="str">
        <x:v>Diego Marsh</x:v>
      </x:c>
      <x:c r="D57" s="12" t="str">
        <x:v>Project only</x:v>
      </x:c>
      <x:c r="E57" s="8" t="n">
        <x:f>IF(COUNTBLANK('Inputs'!F29)&gt;0,"",'Inputs'!F29)</x:f>
        <x:v>2</x:v>
      </x:c>
      <x:c r="F57" s="8" t="n">
        <x:f>SUMIFS('Work log'!$F$6:$F$74,'Work log'!$D$6:$D$74,C57,'Work log'!$B$6:$B$74,A57,'Work log'!$E$6:$E$74,"&lt;&gt;Coverage")</x:f>
        <x:v>1.5</x:v>
      </x:c>
      <x:c r="G57" s="8" t="n">
        <x:f>IF(ISNUMBER(E57),E57-F57,"")</x:f>
        <x:v>0.5</x:v>
      </x:c>
      <x:c r="H57" s="2" t="str">
        <x:f>IF(NOT(ISNUMBER(E57)),"MISSING",IF(E57&lt;0,"INVALID",IF(OR(B57&lt;'Inputs'!$B$14,B57&gt;'Inputs'!$B$15,WEEKDAY(B57,2)&gt;5,B57&lt;&gt;WORKDAY('Inputs'!$B$14,A57-1)),"DATE",IF(G57&lt;0,"OVER","OK"))))</x:f>
        <x:v>OK</x:v>
      </x:c>
      <x:c r="I57" s="2" t="str">
        <x:v>D13, D14</x:v>
      </x:c>
    </x:row>
    <x:row r="58" ht="38" customHeight="1">
      <x:c r="A58" s="2" t="n">
        <x:v>9</x:v>
      </x:c>
      <x:c r="B58" s="22" t="n">
        <x:f>'Inputs'!B29</x:f>
        <x:v>46283</x:v>
      </x:c>
      <x:c r="C58" s="12" t="str">
        <x:v>Diego Marsh</x:v>
      </x:c>
      <x:c r="D58" s="12" t="str">
        <x:v>Protected coverage</x:v>
      </x:c>
      <x:c r="E58" s="8" t="n">
        <x:f>IF(COUNTBLANK('Inputs'!G29)&gt;0,"",'Inputs'!G29)</x:f>
        <x:v>1</x:v>
      </x:c>
      <x:c r="F58" s="8" t="n">
        <x:f>SUMIFS('Work log'!$F$6:$F$74,'Work log'!$D$6:$D$74,C58,'Work log'!$B$6:$B$74,A58,'Work log'!$E$6:$E$74,"Coverage")</x:f>
        <x:v>1</x:v>
      </x:c>
      <x:c r="G58" s="8" t="n">
        <x:f>IF(ISNUMBER(E58),E58-F58,"")</x:f>
        <x:v>0</x:v>
      </x:c>
      <x:c r="H58" s="2" t="str">
        <x:f>IF(NOT(ISNUMBER(E58)),"MISSING",IF(E58&lt;0,"INVALID",IF(OR(B58&lt;'Inputs'!$B$14,B58&gt;'Inputs'!$B$15,WEEKDAY(B58,2)&gt;5,B58&lt;&gt;WORKDAY('Inputs'!$B$14,A58-1)),"DATE",IF(G58&lt;0,"OVER","OK"))))</x:f>
        <x:v>OK</x:v>
      </x:c>
      <x:c r="I58" s="2" t="str">
        <x:v>Q09</x:v>
      </x:c>
    </x:row>
    <x:row r="59" ht="38" customHeight="1">
      <x:c r="A59" s="2" t="n">
        <x:v>9</x:v>
      </x:c>
      <x:c r="B59" s="22" t="n">
        <x:f>'Inputs'!B29</x:f>
        <x:v>46283</x:v>
      </x:c>
      <x:c r="C59" s="12" t="str">
        <x:v>Nate Osei</x:v>
      </x:c>
      <x:c r="D59" s="12" t="str">
        <x:v>Ephrata only</x:v>
      </x:c>
      <x:c r="E59" s="8" t="n">
        <x:f>IF(COUNTBLANK('Inputs'!H29)&gt;0,"",'Inputs'!H29)</x:f>
        <x:v>0</x:v>
      </x:c>
      <x:c r="F59" s="8" t="n">
        <x:f>SUMIFS('Work log'!$F$6:$F$74,'Work log'!$D$6:$D$74,C59,'Work log'!$B$6:$B$74,A59,'Work log'!$E$6:$E$74,"&lt;&gt;Coverage")</x:f>
        <x:v>0</x:v>
      </x:c>
      <x:c r="G59" s="8" t="n">
        <x:f>IF(ISNUMBER(E59),E59-F59,"")</x:f>
        <x:v>0</x:v>
      </x:c>
      <x:c r="H59" s="2" t="str">
        <x:f>IF(NOT(ISNUMBER(E59)),"MISSING",IF(E59&lt;0,"INVALID",IF(OR(B59&lt;'Inputs'!$B$14,B59&gt;'Inputs'!$B$15,WEEKDAY(B59,2)&gt;5,B59&lt;&gt;WORKDAY('Inputs'!$B$14,A59-1)),"DATE",IF(G59&lt;0,"OVER","OK"))))</x:f>
        <x:v>OK</x:v>
      </x:c>
      <x:c r="I59" s="2" t="str">
        <x:v>No booked project work</x:v>
      </x:c>
    </x:row>
    <x:row r="60" ht="38" customHeight="1">
      <x:c r="A60" s="20" t="n">
        <x:v>10</x:v>
      </x:c>
      <x:c r="B60" s="23" t="n">
        <x:f>'Inputs'!B30</x:f>
        <x:v>46286</x:v>
      </x:c>
      <x:c r="C60" s="25" t="str">
        <x:v>Head of Deployment &amp; Customer Ops</x:v>
      </x:c>
      <x:c r="D60" s="25" t="str">
        <x:v>All projects</x:v>
      </x:c>
      <x:c r="E60" s="24" t="n">
        <x:f>IF(COUNTBLANK('Inputs'!C30)&gt;0,"",'Inputs'!C30)</x:f>
        <x:v>1</x:v>
      </x:c>
      <x:c r="F60" s="24" t="n">
        <x:f>SUMIFS('Work log'!$F$6:$F$74,'Work log'!$D$6:$D$74,C60,'Work log'!$B$6:$B$74,A60,'Work log'!$E$6:$E$74,"&lt;&gt;Coverage")</x:f>
        <x:v>1</x:v>
      </x:c>
      <x:c r="G60" s="24" t="n">
        <x:f>IF(ISNUMBER(E60),E60-F60,"")</x:f>
        <x:v>0</x:v>
      </x:c>
      <x:c r="H60" s="20" t="str">
        <x:f>IF(NOT(ISNUMBER(E60)),"MISSING",IF(E60&lt;0,"INVALID",IF(OR(B60&lt;'Inputs'!$B$14,B60&gt;'Inputs'!$B$15,WEEKDAY(B60,2)&gt;5,B60&lt;&gt;WORKDAY('Inputs'!$B$14,A60-1)),"DATE",IF(G60&lt;0,"OVER","OK"))))</x:f>
        <x:v>OK</x:v>
      </x:c>
      <x:c r="I60" s="20" t="str">
        <x:v>H11, H12</x:v>
      </x:c>
    </x:row>
    <x:row r="61" ht="38" customHeight="1">
      <x:c r="A61" s="20" t="n">
        <x:v>10</x:v>
      </x:c>
      <x:c r="B61" s="23" t="n">
        <x:f>'Inputs'!B30</x:f>
        <x:v>46286</x:v>
      </x:c>
      <x:c r="C61" s="25" t="str">
        <x:v>Priya Chandrasekaran</x:v>
      </x:c>
      <x:c r="D61" s="25" t="str">
        <x:v>All projects</x:v>
      </x:c>
      <x:c r="E61" s="24" t="n">
        <x:f>IF(COUNTBLANK('Inputs'!D30)&gt;0,"",'Inputs'!D30)</x:f>
        <x:v>3</x:v>
      </x:c>
      <x:c r="F61" s="24" t="n">
        <x:f>SUMIFS('Work log'!$F$6:$F$74,'Work log'!$D$6:$D$74,C61,'Work log'!$B$6:$B$74,A61,'Work log'!$E$6:$E$74,"&lt;&gt;Coverage")</x:f>
        <x:v>2</x:v>
      </x:c>
      <x:c r="G61" s="24" t="n">
        <x:f>IF(ISNUMBER(E61),E61-F61,"")</x:f>
        <x:v>1</x:v>
      </x:c>
      <x:c r="H61" s="20" t="str">
        <x:f>IF(NOT(ISNUMBER(E61)),"MISSING",IF(E61&lt;0,"INVALID",IF(OR(B61&lt;'Inputs'!$B$14,B61&gt;'Inputs'!$B$15,WEEKDAY(B61,2)&gt;5,B61&lt;&gt;WORKDAY('Inputs'!$B$14,A61-1)),"DATE",IF(G61&lt;0,"OVER","OK"))))</x:f>
        <x:v>OK</x:v>
      </x:c>
      <x:c r="I61" s="20" t="str">
        <x:v>P13</x:v>
      </x:c>
    </x:row>
    <x:row r="62" ht="38" customHeight="1">
      <x:c r="A62" s="20" t="n">
        <x:v>10</x:v>
      </x:c>
      <x:c r="B62" s="23" t="n">
        <x:f>'Inputs'!B30</x:f>
        <x:v>46286</x:v>
      </x:c>
      <x:c r="C62" s="25" t="str">
        <x:v>Jordan Kwan</x:v>
      </x:c>
      <x:c r="D62" s="25" t="str">
        <x:v>All projects</x:v>
      </x:c>
      <x:c r="E62" s="24" t="n">
        <x:f>IF(COUNTBLANK('Inputs'!E30)&gt;0,"",'Inputs'!E30)</x:f>
        <x:v>3</x:v>
      </x:c>
      <x:c r="F62" s="24" t="n">
        <x:f>SUMIFS('Work log'!$F$6:$F$74,'Work log'!$D$6:$D$74,C62,'Work log'!$B$6:$B$74,A62,'Work log'!$E$6:$E$74,"&lt;&gt;Coverage")</x:f>
        <x:v>2</x:v>
      </x:c>
      <x:c r="G62" s="24" t="n">
        <x:f>IF(ISNUMBER(E62),E62-F62,"")</x:f>
        <x:v>1</x:v>
      </x:c>
      <x:c r="H62" s="20" t="str">
        <x:f>IF(NOT(ISNUMBER(E62)),"MISSING",IF(E62&lt;0,"INVALID",IF(OR(B62&lt;'Inputs'!$B$14,B62&gt;'Inputs'!$B$15,WEEKDAY(B62,2)&gt;5,B62&lt;&gt;WORKDAY('Inputs'!$B$14,A62-1)),"DATE",IF(G62&lt;0,"OVER","OK"))))</x:f>
        <x:v>OK</x:v>
      </x:c>
      <x:c r="I62" s="20" t="str">
        <x:v>J15, J16</x:v>
      </x:c>
    </x:row>
    <x:row r="63" ht="38" customHeight="1">
      <x:c r="A63" s="20" t="n">
        <x:v>10</x:v>
      </x:c>
      <x:c r="B63" s="23" t="n">
        <x:f>'Inputs'!B30</x:f>
        <x:v>46286</x:v>
      </x:c>
      <x:c r="C63" s="25" t="str">
        <x:v>Diego Marsh</x:v>
      </x:c>
      <x:c r="D63" s="25" t="str">
        <x:v>Project only</x:v>
      </x:c>
      <x:c r="E63" s="24" t="n">
        <x:f>IF(COUNTBLANK('Inputs'!F30)&gt;0,"",'Inputs'!F30)</x:f>
        <x:v>2</x:v>
      </x:c>
      <x:c r="F63" s="24" t="n">
        <x:f>SUMIFS('Work log'!$F$6:$F$74,'Work log'!$D$6:$D$74,C63,'Work log'!$B$6:$B$74,A63,'Work log'!$E$6:$E$74,"&lt;&gt;Coverage")</x:f>
        <x:v>1</x:v>
      </x:c>
      <x:c r="G63" s="24" t="n">
        <x:f>IF(ISNUMBER(E63),E63-F63,"")</x:f>
        <x:v>1</x:v>
      </x:c>
      <x:c r="H63" s="20" t="str">
        <x:f>IF(NOT(ISNUMBER(E63)),"MISSING",IF(E63&lt;0,"INVALID",IF(OR(B63&lt;'Inputs'!$B$14,B63&gt;'Inputs'!$B$15,WEEKDAY(B63,2)&gt;5,B63&lt;&gt;WORKDAY('Inputs'!$B$14,A63-1)),"DATE",IF(G63&lt;0,"OVER","OK"))))</x:f>
        <x:v>OK</x:v>
      </x:c>
      <x:c r="I63" s="20" t="str">
        <x:v>D15</x:v>
      </x:c>
    </x:row>
    <x:row r="64" ht="38" customHeight="1">
      <x:c r="A64" s="20" t="n">
        <x:v>10</x:v>
      </x:c>
      <x:c r="B64" s="23" t="n">
        <x:f>'Inputs'!B30</x:f>
        <x:v>46286</x:v>
      </x:c>
      <x:c r="C64" s="25" t="str">
        <x:v>Diego Marsh</x:v>
      </x:c>
      <x:c r="D64" s="25" t="str">
        <x:v>Protected coverage</x:v>
      </x:c>
      <x:c r="E64" s="24" t="n">
        <x:f>IF(COUNTBLANK('Inputs'!G30)&gt;0,"",'Inputs'!G30)</x:f>
        <x:v>1</x:v>
      </x:c>
      <x:c r="F64" s="24" t="n">
        <x:f>SUMIFS('Work log'!$F$6:$F$74,'Work log'!$D$6:$D$74,C64,'Work log'!$B$6:$B$74,A64,'Work log'!$E$6:$E$74,"Coverage")</x:f>
        <x:v>1</x:v>
      </x:c>
      <x:c r="G64" s="24" t="n">
        <x:f>IF(ISNUMBER(E64),E64-F64,"")</x:f>
        <x:v>0</x:v>
      </x:c>
      <x:c r="H64" s="20" t="str">
        <x:f>IF(NOT(ISNUMBER(E64)),"MISSING",IF(E64&lt;0,"INVALID",IF(OR(B64&lt;'Inputs'!$B$14,B64&gt;'Inputs'!$B$15,WEEKDAY(B64,2)&gt;5,B64&lt;&gt;WORKDAY('Inputs'!$B$14,A64-1)),"DATE",IF(G64&lt;0,"OVER","OK"))))</x:f>
        <x:v>OK</x:v>
      </x:c>
      <x:c r="I64" s="20" t="str">
        <x:v>Q10</x:v>
      </x:c>
    </x:row>
    <x:row r="65" ht="38" customHeight="1">
      <x:c r="A65" s="20" t="n">
        <x:v>10</x:v>
      </x:c>
      <x:c r="B65" s="23" t="n">
        <x:f>'Inputs'!B30</x:f>
        <x:v>46286</x:v>
      </x:c>
      <x:c r="C65" s="25" t="str">
        <x:v>Nate Osei</x:v>
      </x:c>
      <x:c r="D65" s="25" t="str">
        <x:v>Ephrata only</x:v>
      </x:c>
      <x:c r="E65" s="24" t="n">
        <x:f>IF(COUNTBLANK('Inputs'!H30)&gt;0,"",'Inputs'!H30)</x:f>
        <x:v>0</x:v>
      </x:c>
      <x:c r="F65" s="24" t="n">
        <x:f>SUMIFS('Work log'!$F$6:$F$74,'Work log'!$D$6:$D$74,C65,'Work log'!$B$6:$B$74,A65,'Work log'!$E$6:$E$74,"&lt;&gt;Coverage")</x:f>
        <x:v>0</x:v>
      </x:c>
      <x:c r="G65" s="24" t="n">
        <x:f>IF(ISNUMBER(E65),E65-F65,"")</x:f>
        <x:v>0</x:v>
      </x:c>
      <x:c r="H65" s="20" t="str">
        <x:f>IF(NOT(ISNUMBER(E65)),"MISSING",IF(E65&lt;0,"INVALID",IF(OR(B65&lt;'Inputs'!$B$14,B65&gt;'Inputs'!$B$15,WEEKDAY(B65,2)&gt;5,B65&lt;&gt;WORKDAY('Inputs'!$B$14,A65-1)),"DATE",IF(G65&lt;0,"OVER","OK"))))</x:f>
        <x:v>OK</x:v>
      </x:c>
      <x:c r="I65" s="20" t="str">
        <x:v>No booked project work</x:v>
      </x:c>
    </x:row>
  </x:sheetData>
  <x:conditionalFormatting sqref="H6:H65">
    <x:cfRule type="notContainsText" dxfId="1" priority="1" text="OK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7" hidden="0" customWidth="1"/>
    <x:col min="3" max="3" width="15" hidden="0" customWidth="1"/>
    <x:col min="4" max="4" width="35" hidden="0" customWidth="1"/>
    <x:col min="5" max="5" width="15" hidden="0" customWidth="1"/>
    <x:col min="6" max="6" width="10" hidden="0" customWidth="1"/>
    <x:col min="7" max="7" width="49" hidden="0" customWidth="1"/>
    <x:col min="8" max="8" width="45" hidden="0" customWidth="1"/>
    <x:col min="9" max="9" width="47" hidden="0" customWidth="1"/>
    <x:col min="10" max="10" width="17" hidden="0" customWidth="1"/>
    <x:col min="11" max="11" width="44" hidden="0" customWidth="1"/>
    <x:col min="12" max="12" width="43" hidden="0" customWidth="1"/>
    <x:col min="13" max="13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Execution work log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 t="str">
        <x:v>Planned actions only. Enter actual evidence before marking Done; blocked work needs a next step.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7" t="str">
        <x:v>ID</x:v>
      </x:c>
      <x:c r="B5" s="7" t="str">
        <x:v>Day</x:v>
      </x:c>
      <x:c r="C5" s="7" t="str">
        <x:v>Date</x:v>
      </x:c>
      <x:c r="D5" s="7" t="str">
        <x:v>Owner</x:v>
      </x:c>
      <x:c r="E5" s="7" t="str">
        <x:v>Account</x:v>
      </x:c>
      <x:c r="F5" s="7" t="str">
        <x:v>Hours</x:v>
      </x:c>
      <x:c r="G5" s="7" t="str">
        <x:v>Action</x:v>
      </x:c>
      <x:c r="H5" s="7" t="str">
        <x:v>Prerequisite</x:v>
      </x:c>
      <x:c r="I5" s="7" t="str">
        <x:v>Expected evidence</x:v>
      </x:c>
      <x:c r="J5" s="7" t="str">
        <x:v>Status</x:v>
      </x:c>
      <x:c r="K5" s="7" t="str">
        <x:v>Actual evidence</x:v>
      </x:c>
      <x:c r="L5" s="7" t="str">
        <x:v>Next step</x:v>
      </x:c>
      <x:c r="M5" s="7" t="str">
        <x:v>Row check</x:v>
      </x:c>
    </x:row>
    <x:row r="6" ht="58" customHeight="1">
      <x:c r="A6" s="2" t="str">
        <x:v>H01</x:v>
      </x:c>
      <x:c r="B6" s="14" t="n">
        <x:v>1</x:v>
      </x:c>
      <x:c r="C6" s="15" t="n">
        <x:f>IF(AND(ISNUMBER(B6),B6&gt;=1,B6&lt;=10,MOD(B6,1)=0),INDEX('Inputs'!$B$21:$B$30,B6),"")</x:f>
        <x:v>46273</x:v>
      </x:c>
      <x:c r="D6" s="12" t="str">
        <x:v>Head of Deployment &amp; Customer Ops</x:v>
      </x:c>
      <x:c r="E6" s="12" t="str">
        <x:v>Ephrata</x:v>
      </x:c>
      <x:c r="F6" s="16" t="n">
        <x:v>1</x:v>
      </x:c>
      <x:c r="G6" s="18" t="str">
        <x:v>Prioritize recovery and confirm limits</x:v>
      </x:c>
      <x:c r="H6" s="18" t="str">
        <x:v>Source review; team calendars</x:v>
      </x:c>
      <x:c r="I6" s="18" t="str">
        <x:v>Decision ledger and named approvers</x:v>
      </x:c>
      <x:c r="J6" s="19" t="str">
        <x:v>Planned</x:v>
      </x:c>
      <x:c r="K6" s="19"/>
      <x:c r="L6" s="19"/>
      <x:c r="M6" s="12" t="str">
        <x:f>IF(OR(COUNTBLANK(B6:F6)&gt;0,NOT(ISNUMBER(F6)),F6&lt;0),"INPUT",IF(COUNTIFS('Inputs'!$A$6:$A$10,D6)&lt;&gt;1,"OWNER",IF(NOT(OR(E6="Ephrata",E6="Durant",E6="Medford",E6="Portfolio",E6="Coverage")),"ACCOUNT",IF(OR(C6&lt;'Inputs'!$B$14,C6&gt;'Inputs'!$B$15,WEEKDAY(C6,2)&gt;5,C6&lt;&gt;WORKDAY('Inputs'!$B$14,B6-1)),"DATE",IF(AND(J6="Done",K6=""),"EVIDENCE",IF(AND(J6="Blocked",L6=""),"NEXT STEP","OK"))))))</x:f>
        <x:v>OK</x:v>
      </x:c>
    </x:row>
    <x:row r="7" ht="58" customHeight="1">
      <x:c r="A7" s="2" t="str">
        <x:v>P01</x:v>
      </x:c>
      <x:c r="B7" s="14" t="n">
        <x:v>1</x:v>
      </x:c>
      <x:c r="C7" s="15" t="n">
        <x:f>IF(AND(ISNUMBER(B7),B7&gt;=1,B7&lt;=10,MOD(B7,1)=0),INDEX('Inputs'!$B$21:$B$30,B7),"")</x:f>
        <x:v>46273</x:v>
      </x:c>
      <x:c r="D7" s="12" t="str">
        <x:v>Priya Chandrasekaran</x:v>
      </x:c>
      <x:c r="E7" s="12" t="str">
        <x:v>Ephrata</x:v>
      </x:c>
      <x:c r="F7" s="16" t="n">
        <x:v>3</x:v>
      </x:c>
      <x:c r="G7" s="18" t="str">
        <x:v>Triage 2h and collect incident packet 1h</x:v>
      </x:c>
      <x:c r="H7" s="18" t="str">
        <x:v>Account history / customer availability</x:v>
      </x:c>
      <x:c r="I7" s="18" t="str">
        <x:v>Affected IDs, timestamps, roster request</x:v>
      </x:c>
      <x:c r="J7" s="19" t="str">
        <x:v>Planned</x:v>
      </x:c>
      <x:c r="K7" s="19"/>
      <x:c r="L7" s="19"/>
      <x:c r="M7" s="12" t="str">
        <x:f>IF(OR(COUNTBLANK(B7:F7)&gt;0,NOT(ISNUMBER(F7)),F7&lt;0),"INPUT",IF(COUNTIFS('Inputs'!$A$6:$A$10,D7)&lt;&gt;1,"OWNER",IF(NOT(OR(E7="Ephrata",E7="Durant",E7="Medford",E7="Portfolio",E7="Coverage")),"ACCOUNT",IF(OR(C7&lt;'Inputs'!$B$14,C7&gt;'Inputs'!$B$15,WEEKDAY(C7,2)&gt;5,C7&lt;&gt;WORKDAY('Inputs'!$B$14,B7-1)),"DATE",IF(AND(J7="Done",K7=""),"EVIDENCE",IF(AND(J7="Blocked",L7=""),"NEXT STEP","OK"))))))</x:f>
        <x:v>OK</x:v>
      </x:c>
    </x:row>
    <x:row r="8" ht="58" customHeight="1">
      <x:c r="A8" s="2" t="str">
        <x:v>P02</x:v>
      </x:c>
      <x:c r="B8" s="14" t="n">
        <x:v>1</x:v>
      </x:c>
      <x:c r="C8" s="15" t="n">
        <x:f>IF(AND(ISNUMBER(B8),B8&gt;=1,B8&lt;=10,MOD(B8,1)=0),INDEX('Inputs'!$B$21:$B$30,B8),"")</x:f>
        <x:v>46273</x:v>
      </x:c>
      <x:c r="D8" s="12" t="str">
        <x:v>Priya Chandrasekaran</x:v>
      </x:c>
      <x:c r="E8" s="12" t="str">
        <x:v>Portfolio</x:v>
      </x:c>
      <x:c r="F8" s="16" t="n">
        <x:v>1</x:v>
      </x:c>
      <x:c r="G8" s="18" t="str">
        <x:v>Confirm team split and daily assumptions</x:v>
      </x:c>
      <x:c r="H8" s="18" t="str">
        <x:v>Capacity source / calendars</x:v>
      </x:c>
      <x:c r="I8" s="18" t="str">
        <x:v>36h/25h split confirmed or replanned</x:v>
      </x:c>
      <x:c r="J8" s="19" t="str">
        <x:v>Planned</x:v>
      </x:c>
      <x:c r="K8" s="19"/>
      <x:c r="L8" s="19"/>
      <x:c r="M8" s="12" t="str">
        <x:f>IF(OR(COUNTBLANK(B8:F8)&gt;0,NOT(ISNUMBER(F8)),F8&lt;0),"INPUT",IF(COUNTIFS('Inputs'!$A$6:$A$10,D8)&lt;&gt;1,"OWNER",IF(NOT(OR(E8="Ephrata",E8="Durant",E8="Medford",E8="Portfolio",E8="Coverage")),"ACCOUNT",IF(OR(C8&lt;'Inputs'!$B$14,C8&gt;'Inputs'!$B$15,WEEKDAY(C8,2)&gt;5,C8&lt;&gt;WORKDAY('Inputs'!$B$14,B8-1)),"DATE",IF(AND(J8="Done",K8=""),"EVIDENCE",IF(AND(J8="Blocked",L8=""),"NEXT STEP","OK"))))))</x:f>
        <x:v>OK</x:v>
      </x:c>
    </x:row>
    <x:row r="9" ht="58" customHeight="1">
      <x:c r="A9" s="2" t="str">
        <x:v>J01</x:v>
      </x:c>
      <x:c r="B9" s="14" t="n">
        <x:v>1</x:v>
      </x:c>
      <x:c r="C9" s="15" t="n">
        <x:f>IF(AND(ISNUMBER(B9),B9&gt;=1,B9&lt;=10,MOD(B9,1)=0),INDEX('Inputs'!$B$21:$B$30,B9),"")</x:f>
        <x:v>46273</x:v>
      </x:c>
      <x:c r="D9" s="12" t="str">
        <x:v>Jordan Kwan</x:v>
      </x:c>
      <x:c r="E9" s="12" t="str">
        <x:v>Durant</x:v>
      </x:c>
      <x:c r="F9" s="16" t="n">
        <x:v>2</x:v>
      </x:c>
      <x:c r="G9" s="18" t="str">
        <x:v>Confirm export schema/access and prepare extraction</x:v>
      </x:c>
      <x:c r="H9" s="18" t="str">
        <x:v>Vendor format / authorized recipient</x:v>
      </x:c>
      <x:c r="I9" s="18" t="str">
        <x:v>Export mapping and delivery prerequisites</x:v>
      </x:c>
      <x:c r="J9" s="19" t="str">
        <x:v>Planned</x:v>
      </x:c>
      <x:c r="K9" s="19"/>
      <x:c r="L9" s="19"/>
      <x:c r="M9" s="12" t="str">
        <x:f>IF(OR(COUNTBLANK(B9:F9)&gt;0,NOT(ISNUMBER(F9)),F9&lt;0),"INPUT",IF(COUNTIFS('Inputs'!$A$6:$A$10,D9)&lt;&gt;1,"OWNER",IF(NOT(OR(E9="Ephrata",E9="Durant",E9="Medford",E9="Portfolio",E9="Coverage")),"ACCOUNT",IF(OR(C9&lt;'Inputs'!$B$14,C9&gt;'Inputs'!$B$15,WEEKDAY(C9,2)&gt;5,C9&lt;&gt;WORKDAY('Inputs'!$B$14,B9-1)),"DATE",IF(AND(J9="Done",K9=""),"EVIDENCE",IF(AND(J9="Blocked",L9=""),"NEXT STEP","OK"))))))</x:f>
        <x:v>OK</x:v>
      </x:c>
    </x:row>
    <x:row r="10" ht="58" customHeight="1">
      <x:c r="A10" s="2" t="str">
        <x:v>J02</x:v>
      </x:c>
      <x:c r="B10" s="14" t="n">
        <x:v>1</x:v>
      </x:c>
      <x:c r="C10" s="15" t="n">
        <x:f>IF(AND(ISNUMBER(B10),B10&gt;=1,B10&lt;=10,MOD(B10,1)=0),INDEX('Inputs'!$B$21:$B$30,B10),"")</x:f>
        <x:v>46273</x:v>
      </x:c>
      <x:c r="D10" s="12" t="str">
        <x:v>Jordan Kwan</x:v>
      </x:c>
      <x:c r="E10" s="12" t="str">
        <x:v>Medford</x:v>
      </x:c>
      <x:c r="F10" s="16" t="n">
        <x:v>0.5</x:v>
      </x:c>
      <x:c r="G10" s="18" t="str">
        <x:v>Reply and schedule reset conversation</x:v>
      </x:c>
      <x:c r="H10" s="18" t="str">
        <x:v>Tom availability</x:v>
      </x:c>
      <x:c r="I10" s="18" t="str">
        <x:v>Reply recorded and proposed times</x:v>
      </x:c>
      <x:c r="J10" s="19" t="str">
        <x:v>Planned</x:v>
      </x:c>
      <x:c r="K10" s="19"/>
      <x:c r="L10" s="19"/>
      <x:c r="M10" s="12" t="str">
        <x:f>IF(OR(COUNTBLANK(B10:F10)&gt;0,NOT(ISNUMBER(F10)),F10&lt;0),"INPUT",IF(COUNTIFS('Inputs'!$A$6:$A$10,D10)&lt;&gt;1,"OWNER",IF(NOT(OR(E10="Ephrata",E10="Durant",E10="Medford",E10="Portfolio",E10="Coverage")),"ACCOUNT",IF(OR(C10&lt;'Inputs'!$B$14,C10&gt;'Inputs'!$B$15,WEEKDAY(C10,2)&gt;5,C10&lt;&gt;WORKDAY('Inputs'!$B$14,B10-1)),"DATE",IF(AND(J10="Done",K10=""),"EVIDENCE",IF(AND(J10="Blocked",L10=""),"NEXT STEP","OK"))))))</x:f>
        <x:v>OK</x:v>
      </x:c>
    </x:row>
    <x:row r="11" ht="58" customHeight="1">
      <x:c r="A11" s="2" t="str">
        <x:v>J03</x:v>
      </x:c>
      <x:c r="B11" s="14" t="n">
        <x:v>1</x:v>
      </x:c>
      <x:c r="C11" s="15" t="n">
        <x:f>IF(AND(ISNUMBER(B11),B11&gt;=1,B11&lt;=10,MOD(B11,1)=0),INDEX('Inputs'!$B$21:$B$30,B11),"")</x:f>
        <x:v>46273</x:v>
      </x:c>
      <x:c r="D11" s="12" t="str">
        <x:v>Jordan Kwan</x:v>
      </x:c>
      <x:c r="E11" s="12" t="str">
        <x:v>Portfolio</x:v>
      </x:c>
      <x:c r="F11" s="16" t="n">
        <x:v>0.5</x:v>
      </x:c>
      <x:c r="G11" s="18" t="str">
        <x:v>Confirm personal allocation and dependencies</x:v>
      </x:c>
      <x:c r="H11" s="18" t="str">
        <x:v>Source ceiling and other-account obligations</x:v>
      </x:c>
      <x:c r="I11" s="18" t="str">
        <x:v>Capacity assumption confirmed</x:v>
      </x:c>
      <x:c r="J11" s="19" t="str">
        <x:v>Planned</x:v>
      </x:c>
      <x:c r="K11" s="19"/>
      <x:c r="L11" s="19"/>
      <x:c r="M11" s="12" t="str">
        <x:f>IF(OR(COUNTBLANK(B11:F11)&gt;0,NOT(ISNUMBER(F11)),F11&lt;0),"INPUT",IF(COUNTIFS('Inputs'!$A$6:$A$10,D11)&lt;&gt;1,"OWNER",IF(NOT(OR(E11="Ephrata",E11="Durant",E11="Medford",E11="Portfolio",E11="Coverage")),"ACCOUNT",IF(OR(C11&lt;'Inputs'!$B$14,C11&gt;'Inputs'!$B$15,WEEKDAY(C11,2)&gt;5,C11&lt;&gt;WORKDAY('Inputs'!$B$14,B11-1)),"DATE",IF(AND(J11="Done",K11=""),"EVIDENCE",IF(AND(J11="Blocked",L11=""),"NEXT STEP","OK"))))))</x:f>
        <x:v>OK</x:v>
      </x:c>
    </x:row>
    <x:row r="12" ht="58" customHeight="1">
      <x:c r="A12" s="2" t="str">
        <x:v>D01</x:v>
      </x:c>
      <x:c r="B12" s="14" t="n">
        <x:v>1</x:v>
      </x:c>
      <x:c r="C12" s="15" t="n">
        <x:f>IF(AND(ISNUMBER(B12),B12&gt;=1,B12&lt;=10,MOD(B12,1)=0),INDEX('Inputs'!$B$21:$B$30,B12),"")</x:f>
        <x:v>46273</x:v>
      </x:c>
      <x:c r="D12" s="12" t="str">
        <x:v>Diego Marsh</x:v>
      </x:c>
      <x:c r="E12" s="12" t="str">
        <x:v>Ephrata</x:v>
      </x:c>
      <x:c r="F12" s="16" t="n">
        <x:v>1</x:v>
      </x:c>
      <x:c r="G12" s="18" t="str">
        <x:v>Pull adoption evidence and match affected IDs</x:v>
      </x:c>
      <x:c r="H12" s="18" t="str">
        <x:v>Access and reported caregiver identities</x:v>
      </x:c>
      <x:c r="I12" s="18" t="str">
        <x:v>Compliance and admin-closeout evidence</x:v>
      </x:c>
      <x:c r="J12" s="19" t="str">
        <x:v>Planned</x:v>
      </x:c>
      <x:c r="K12" s="19"/>
      <x:c r="L12" s="19"/>
      <x:c r="M12" s="12" t="str">
        <x:f>IF(OR(COUNTBLANK(B12:F12)&gt;0,NOT(ISNUMBER(F12)),F12&lt;0),"INPUT",IF(COUNTIFS('Inputs'!$A$6:$A$10,D12)&lt;&gt;1,"OWNER",IF(NOT(OR(E12="Ephrata",E12="Durant",E12="Medford",E12="Portfolio",E12="Coverage")),"ACCOUNT",IF(OR(C12&lt;'Inputs'!$B$14,C12&gt;'Inputs'!$B$15,WEEKDAY(C12,2)&gt;5,C12&lt;&gt;WORKDAY('Inputs'!$B$14,B12-1)),"DATE",IF(AND(J12="Done",K12=""),"EVIDENCE",IF(AND(J12="Blocked",L12=""),"NEXT STEP","OK"))))))</x:f>
        <x:v>OK</x:v>
      </x:c>
    </x:row>
    <x:row r="13" ht="58" customHeight="1">
      <x:c r="A13" s="2" t="str">
        <x:v>D02</x:v>
      </x:c>
      <x:c r="B13" s="14" t="n">
        <x:v>1</x:v>
      </x:c>
      <x:c r="C13" s="15" t="n">
        <x:f>IF(AND(ISNUMBER(B13),B13&gt;=1,B13&lt;=10,MOD(B13,1)=0),INDEX('Inputs'!$B$21:$B$30,B13),"")</x:f>
        <x:v>46273</x:v>
      </x:c>
      <x:c r="D13" s="12" t="str">
        <x:v>Diego Marsh</x:v>
      </x:c>
      <x:c r="E13" s="12" t="str">
        <x:v>Durant</x:v>
      </x:c>
      <x:c r="F13" s="16" t="n">
        <x:v>1</x:v>
      </x:c>
      <x:c r="G13" s="18" t="str">
        <x:v>Prepare export-validation checklist</x:v>
      </x:c>
      <x:c r="H13" s="18" t="str">
        <x:v>Vendor format / available data</x:v>
      </x:c>
      <x:c r="I13" s="18" t="str">
        <x:v>Counts and representative fields checklist</x:v>
      </x:c>
      <x:c r="J13" s="19" t="str">
        <x:v>Planned</x:v>
      </x:c>
      <x:c r="K13" s="19"/>
      <x:c r="L13" s="19"/>
      <x:c r="M13" s="12" t="str">
        <x:f>IF(OR(COUNTBLANK(B13:F13)&gt;0,NOT(ISNUMBER(F13)),F13&lt;0),"INPUT",IF(COUNTIFS('Inputs'!$A$6:$A$10,D13)&lt;&gt;1,"OWNER",IF(NOT(OR(E13="Ephrata",E13="Durant",E13="Medford",E13="Portfolio",E13="Coverage")),"ACCOUNT",IF(OR(C13&lt;'Inputs'!$B$14,C13&gt;'Inputs'!$B$15,WEEKDAY(C13,2)&gt;5,C13&lt;&gt;WORKDAY('Inputs'!$B$14,B13-1)),"DATE",IF(AND(J13="Done",K13=""),"EVIDENCE",IF(AND(J13="Blocked",L13=""),"NEXT STEP","OK"))))))</x:f>
        <x:v>OK</x:v>
      </x:c>
    </x:row>
    <x:row r="14" ht="58" customHeight="1">
      <x:c r="A14" s="2" t="str">
        <x:v>Q01</x:v>
      </x:c>
      <x:c r="B14" s="14" t="n">
        <x:v>1</x:v>
      </x:c>
      <x:c r="C14" s="15" t="n">
        <x:f>IF(AND(ISNUMBER(B14),B14&gt;=1,B14&lt;=10,MOD(B14,1)=0),INDEX('Inputs'!$B$21:$B$30,B14),"")</x:f>
        <x:v>46273</x:v>
      </x:c>
      <x:c r="D14" s="12" t="str">
        <x:v>Diego Marsh</x:v>
      </x:c>
      <x:c r="E14" s="12" t="str">
        <x:v>Coverage</x:v>
      </x:c>
      <x:c r="F14" s="16" t="n">
        <x:v>2</x:v>
      </x:c>
      <x:c r="G14" s="18" t="str">
        <x:v>Protected standing support queue coverage</x:v>
      </x:c>
      <x:c r="H14" s="18" t="str">
        <x:v>Standing all-account ticket queue</x:v>
      </x:c>
      <x:c r="I14" s="18" t="str">
        <x:v>Coverage hours retained; queue handoff</x:v>
      </x:c>
      <x:c r="J14" s="19" t="str">
        <x:v>Planned</x:v>
      </x:c>
      <x:c r="K14" s="19"/>
      <x:c r="L14" s="19"/>
      <x:c r="M14" s="12" t="str">
        <x:f>IF(OR(COUNTBLANK(B14:F14)&gt;0,NOT(ISNUMBER(F14)),F14&lt;0),"INPUT",IF(COUNTIFS('Inputs'!$A$6:$A$10,D14)&lt;&gt;1,"OWNER",IF(NOT(OR(E14="Ephrata",E14="Durant",E14="Medford",E14="Portfolio",E14="Coverage")),"ACCOUNT",IF(OR(C14&lt;'Inputs'!$B$14,C14&gt;'Inputs'!$B$15,WEEKDAY(C14,2)&gt;5,C14&lt;&gt;WORKDAY('Inputs'!$B$14,B14-1)),"DATE",IF(AND(J14="Done",K14=""),"EVIDENCE",IF(AND(J14="Blocked",L14=""),"NEXT STEP","OK"))))))</x:f>
        <x:v>OK</x:v>
      </x:c>
    </x:row>
    <x:row r="15" ht="58" customHeight="1">
      <x:c r="A15" s="2" t="str">
        <x:v>H02</x:v>
      </x:c>
      <x:c r="B15" s="14" t="n">
        <x:v>2</x:v>
      </x:c>
      <x:c r="C15" s="15" t="n">
        <x:f>IF(AND(ISNUMBER(B15),B15&gt;=1,B15&lt;=10,MOD(B15,1)=0),INDEX('Inputs'!$B$21:$B$30,B15),"")</x:f>
        <x:v>46274</x:v>
      </x:c>
      <x:c r="D15" s="12" t="str">
        <x:v>Head of Deployment &amp; Customer Ops</x:v>
      </x:c>
      <x:c r="E15" s="12" t="str">
        <x:v>Ephrata</x:v>
      </x:c>
      <x:c r="F15" s="16" t="n">
        <x:v>0.75</x:v>
      </x:c>
      <x:c r="G15" s="18" t="str">
        <x:v>Review routing risk and engineering forecast</x:v>
      </x:c>
      <x:c r="H15" s="18" t="str">
        <x:v>Current roster / call trace</x:v>
      </x:c>
      <x:c r="I15" s="18" t="str">
        <x:v>Cap forecast and authorized next step</x:v>
      </x:c>
      <x:c r="J15" s="19" t="str">
        <x:v>Planned</x:v>
      </x:c>
      <x:c r="K15" s="19"/>
      <x:c r="L15" s="19"/>
      <x:c r="M15" s="12" t="str">
        <x:f>IF(OR(COUNTBLANK(B15:F15)&gt;0,NOT(ISNUMBER(F15)),F15&lt;0),"INPUT",IF(COUNTIFS('Inputs'!$A$6:$A$10,D15)&lt;&gt;1,"OWNER",IF(NOT(OR(E15="Ephrata",E15="Durant",E15="Medford",E15="Portfolio",E15="Coverage")),"ACCOUNT",IF(OR(C15&lt;'Inputs'!$B$14,C15&gt;'Inputs'!$B$15,WEEKDAY(C15,2)&gt;5,C15&lt;&gt;WORKDAY('Inputs'!$B$14,B15-1)),"DATE",IF(AND(J15="Done",K15=""),"EVIDENCE",IF(AND(J15="Blocked",L15=""),"NEXT STEP","OK"))))))</x:f>
        <x:v>OK</x:v>
      </x:c>
    </x:row>
    <x:row r="16" ht="58" customHeight="1">
      <x:c r="A16" s="2" t="str">
        <x:v>P03</x:v>
      </x:c>
      <x:c r="B16" s="14" t="n">
        <x:v>2</x:v>
      </x:c>
      <x:c r="C16" s="15" t="n">
        <x:f>IF(AND(ISNUMBER(B16),B16&gt;=1,B16&lt;=10,MOD(B16,1)=0),INDEX('Inputs'!$B$21:$B$30,B16),"")</x:f>
        <x:v>46274</x:v>
      </x:c>
      <x:c r="D16" s="12" t="str">
        <x:v>Priya Chandrasekaran</x:v>
      </x:c>
      <x:c r="E16" s="12" t="str">
        <x:v>Ephrata</x:v>
      </x:c>
      <x:c r="F16" s="16" t="n">
        <x:v>3</x:v>
      </x:c>
      <x:c r="G16" s="18" t="str">
        <x:v>Map roster and prepare controlled routing cases</x:v>
      </x:c>
      <x:c r="H16" s="18" t="str">
        <x:v>Approved current roster; test consent</x:v>
      </x:c>
      <x:c r="I16" s="18" t="str">
        <x:v>Representative test cases and evidence</x:v>
      </x:c>
      <x:c r="J16" s="19" t="str">
        <x:v>Planned</x:v>
      </x:c>
      <x:c r="K16" s="19"/>
      <x:c r="L16" s="19"/>
      <x:c r="M16" s="12" t="str">
        <x:f>IF(OR(COUNTBLANK(B16:F16)&gt;0,NOT(ISNUMBER(F16)),F16&lt;0),"INPUT",IF(COUNTIFS('Inputs'!$A$6:$A$10,D16)&lt;&gt;1,"OWNER",IF(NOT(OR(E16="Ephrata",E16="Durant",E16="Medford",E16="Portfolio",E16="Coverage")),"ACCOUNT",IF(OR(C16&lt;'Inputs'!$B$14,C16&gt;'Inputs'!$B$15,WEEKDAY(C16,2)&gt;5,C16&lt;&gt;WORKDAY('Inputs'!$B$14,B16-1)),"DATE",IF(AND(J16="Done",K16=""),"EVIDENCE",IF(AND(J16="Blocked",L16=""),"NEXT STEP","OK"))))))</x:f>
        <x:v>OK</x:v>
      </x:c>
    </x:row>
    <x:row r="17" ht="58" customHeight="1">
      <x:c r="A17" s="2" t="str">
        <x:v>J04</x:v>
      </x:c>
      <x:c r="B17" s="14" t="n">
        <x:v>2</x:v>
      </x:c>
      <x:c r="C17" s="15" t="n">
        <x:f>IF(AND(ISNUMBER(B17),B17&gt;=1,B17&lt;=10,MOD(B17,1)=0),INDEX('Inputs'!$B$21:$B$30,B17),"")</x:f>
        <x:v>46274</x:v>
      </x:c>
      <x:c r="D17" s="12" t="str">
        <x:v>Jordan Kwan</x:v>
      </x:c>
      <x:c r="E17" s="12" t="str">
        <x:v>Durant</x:v>
      </x:c>
      <x:c r="F17" s="16" t="n">
        <x:v>1</x:v>
      </x:c>
      <x:c r="G17" s="18" t="str">
        <x:v>Generate export</x:v>
      </x:c>
      <x:c r="H17" s="18" t="str">
        <x:v>J01 complete; export permission</x:v>
      </x:c>
      <x:c r="I17" s="18" t="str">
        <x:v>Export file with field / row counts</x:v>
      </x:c>
      <x:c r="J17" s="19" t="str">
        <x:v>Planned</x:v>
      </x:c>
      <x:c r="K17" s="19"/>
      <x:c r="L17" s="19"/>
      <x:c r="M17" s="12" t="str">
        <x:f>IF(OR(COUNTBLANK(B17:F17)&gt;0,NOT(ISNUMBER(F17)),F17&lt;0),"INPUT",IF(COUNTIFS('Inputs'!$A$6:$A$10,D17)&lt;&gt;1,"OWNER",IF(NOT(OR(E17="Ephrata",E17="Durant",E17="Medford",E17="Portfolio",E17="Coverage")),"ACCOUNT",IF(OR(C17&lt;'Inputs'!$B$14,C17&gt;'Inputs'!$B$15,WEEKDAY(C17,2)&gt;5,C17&lt;&gt;WORKDAY('Inputs'!$B$14,B17-1)),"DATE",IF(AND(J17="Done",K17=""),"EVIDENCE",IF(AND(J17="Blocked",L17=""),"NEXT STEP","OK"))))))</x:f>
        <x:v>OK</x:v>
      </x:c>
    </x:row>
    <x:row r="18" ht="58" customHeight="1">
      <x:c r="A18" s="2" t="str">
        <x:v>J05</x:v>
      </x:c>
      <x:c r="B18" s="14" t="n">
        <x:v>2</x:v>
      </x:c>
      <x:c r="C18" s="15" t="n">
        <x:f>IF(AND(ISNUMBER(B18),B18&gt;=1,B18&lt;=10,MOD(B18,1)=0),INDEX('Inputs'!$B$21:$B$30,B18),"")</x:f>
        <x:v>46274</x:v>
      </x:c>
      <x:c r="D18" s="12" t="str">
        <x:v>Jordan Kwan</x:v>
      </x:c>
      <x:c r="E18" s="12" t="str">
        <x:v>Medford</x:v>
      </x:c>
      <x:c r="F18" s="16" t="n">
        <x:v>1</x:v>
      </x:c>
      <x:c r="G18" s="18" t="str">
        <x:v>Prepare and conduct 30-minute scoping call</x:v>
      </x:c>
      <x:c r="H18" s="18" t="str">
        <x:v>Tom available; prior pilot record</x:v>
      </x:c>
      <x:c r="I18" s="18" t="str">
        <x:v>Scope, EVV changes, criteria, dependencies</x:v>
      </x:c>
      <x:c r="J18" s="19" t="str">
        <x:v>Planned</x:v>
      </x:c>
      <x:c r="K18" s="19"/>
      <x:c r="L18" s="19"/>
      <x:c r="M18" s="12" t="str">
        <x:f>IF(OR(COUNTBLANK(B18:F18)&gt;0,NOT(ISNUMBER(F18)),F18&lt;0),"INPUT",IF(COUNTIFS('Inputs'!$A$6:$A$10,D18)&lt;&gt;1,"OWNER",IF(NOT(OR(E18="Ephrata",E18="Durant",E18="Medford",E18="Portfolio",E18="Coverage")),"ACCOUNT",IF(OR(C18&lt;'Inputs'!$B$14,C18&gt;'Inputs'!$B$15,WEEKDAY(C18,2)&gt;5,C18&lt;&gt;WORKDAY('Inputs'!$B$14,B18-1)),"DATE",IF(AND(J18="Done",K18=""),"EVIDENCE",IF(AND(J18="Blocked",L18=""),"NEXT STEP","OK"))))))</x:f>
        <x:v>OK</x:v>
      </x:c>
    </x:row>
    <x:row r="19" ht="58" customHeight="1">
      <x:c r="A19" s="2" t="str">
        <x:v>D03</x:v>
      </x:c>
      <x:c r="B19" s="14" t="n">
        <x:v>2</x:v>
      </x:c>
      <x:c r="C19" s="15" t="n">
        <x:f>IF(AND(ISNUMBER(B19),B19&gt;=1,B19&lt;=10,MOD(B19,1)=0),INDEX('Inputs'!$B$21:$B$30,B19),"")</x:f>
        <x:v>46274</x:v>
      </x:c>
      <x:c r="D19" s="12" t="str">
        <x:v>Diego Marsh</x:v>
      </x:c>
      <x:c r="E19" s="12" t="str">
        <x:v>Ephrata</x:v>
      </x:c>
      <x:c r="F19" s="16" t="n">
        <x:v>1</x:v>
      </x:c>
      <x:c r="G19" s="18" t="str">
        <x:v>Conduct targeted caregiver outreach</x:v>
      </x:c>
      <x:c r="H19" s="18" t="str">
        <x:v>D01 evidence; intended trigger known</x:v>
      </x:c>
      <x:c r="I19" s="18" t="str">
        <x:v>Required behavior and remaining gap</x:v>
      </x:c>
      <x:c r="J19" s="19" t="str">
        <x:v>Planned</x:v>
      </x:c>
      <x:c r="K19" s="19"/>
      <x:c r="L19" s="19"/>
      <x:c r="M19" s="12" t="str">
        <x:f>IF(OR(COUNTBLANK(B19:F19)&gt;0,NOT(ISNUMBER(F19)),F19&lt;0),"INPUT",IF(COUNTIFS('Inputs'!$A$6:$A$10,D19)&lt;&gt;1,"OWNER",IF(NOT(OR(E19="Ephrata",E19="Durant",E19="Medford",E19="Portfolio",E19="Coverage")),"ACCOUNT",IF(OR(C19&lt;'Inputs'!$B$14,C19&gt;'Inputs'!$B$15,WEEKDAY(C19,2)&gt;5,C19&lt;&gt;WORKDAY('Inputs'!$B$14,B19-1)),"DATE",IF(AND(J19="Done",K19=""),"EVIDENCE",IF(AND(J19="Blocked",L19=""),"NEXT STEP","OK"))))))</x:f>
        <x:v>OK</x:v>
      </x:c>
    </x:row>
    <x:row r="20" ht="58" customHeight="1">
      <x:c r="A20" s="2" t="str">
        <x:v>D04</x:v>
      </x:c>
      <x:c r="B20" s="14" t="n">
        <x:v>2</x:v>
      </x:c>
      <x:c r="C20" s="15" t="n">
        <x:f>IF(AND(ISNUMBER(B20),B20&gt;=1,B20&lt;=10,MOD(B20,1)=0),INDEX('Inputs'!$B$21:$B$30,B20),"")</x:f>
        <x:v>46274</x:v>
      </x:c>
      <x:c r="D20" s="12" t="str">
        <x:v>Diego Marsh</x:v>
      </x:c>
      <x:c r="E20" s="12" t="str">
        <x:v>Durant</x:v>
      </x:c>
      <x:c r="F20" s="16" t="n">
        <x:v>1</x:v>
      </x:c>
      <x:c r="G20" s="18" t="str">
        <x:v>Independently validate export</x:v>
      </x:c>
      <x:c r="H20" s="18" t="str">
        <x:v>J04 generated export</x:v>
      </x:c>
      <x:c r="I20" s="18" t="str">
        <x:v>Counts, sampled fields, missing rows logged</x:v>
      </x:c>
      <x:c r="J20" s="19" t="str">
        <x:v>Planned</x:v>
      </x:c>
      <x:c r="K20" s="19"/>
      <x:c r="L20" s="19"/>
      <x:c r="M20" s="12" t="str">
        <x:f>IF(OR(COUNTBLANK(B20:F20)&gt;0,NOT(ISNUMBER(F20)),F20&lt;0),"INPUT",IF(COUNTIFS('Inputs'!$A$6:$A$10,D20)&lt;&gt;1,"OWNER",IF(NOT(OR(E20="Ephrata",E20="Durant",E20="Medford",E20="Portfolio",E20="Coverage")),"ACCOUNT",IF(OR(C20&lt;'Inputs'!$B$14,C20&gt;'Inputs'!$B$15,WEEKDAY(C20,2)&gt;5,C20&lt;&gt;WORKDAY('Inputs'!$B$14,B20-1)),"DATE",IF(AND(J20="Done",K20=""),"EVIDENCE",IF(AND(J20="Blocked",L20=""),"NEXT STEP","OK"))))))</x:f>
        <x:v>OK</x:v>
      </x:c>
    </x:row>
    <x:row r="21" ht="58" customHeight="1">
      <x:c r="A21" s="2" t="str">
        <x:v>Q02</x:v>
      </x:c>
      <x:c r="B21" s="14" t="n">
        <x:v>2</x:v>
      </x:c>
      <x:c r="C21" s="15" t="n">
        <x:f>IF(AND(ISNUMBER(B21),B21&gt;=1,B21&lt;=10,MOD(B21,1)=0),INDEX('Inputs'!$B$21:$B$30,B21),"")</x:f>
        <x:v>46274</x:v>
      </x:c>
      <x:c r="D21" s="12" t="str">
        <x:v>Diego Marsh</x:v>
      </x:c>
      <x:c r="E21" s="12" t="str">
        <x:v>Coverage</x:v>
      </x:c>
      <x:c r="F21" s="16" t="n">
        <x:v>2</x:v>
      </x:c>
      <x:c r="G21" s="18" t="str">
        <x:v>Protected standing support queue coverage</x:v>
      </x:c>
      <x:c r="H21" s="18" t="str">
        <x:v>Standing all-account ticket queue</x:v>
      </x:c>
      <x:c r="I21" s="18" t="str">
        <x:v>Coverage hours retained; queue handoff</x:v>
      </x:c>
      <x:c r="J21" s="19" t="str">
        <x:v>Planned</x:v>
      </x:c>
      <x:c r="K21" s="19"/>
      <x:c r="L21" s="19"/>
      <x:c r="M21" s="12" t="str">
        <x:f>IF(OR(COUNTBLANK(B21:F21)&gt;0,NOT(ISNUMBER(F21)),F21&lt;0),"INPUT",IF(COUNTIFS('Inputs'!$A$6:$A$10,D21)&lt;&gt;1,"OWNER",IF(NOT(OR(E21="Ephrata",E21="Durant",E21="Medford",E21="Portfolio",E21="Coverage")),"ACCOUNT",IF(OR(C21&lt;'Inputs'!$B$14,C21&gt;'Inputs'!$B$15,WEEKDAY(C21,2)&gt;5,C21&lt;&gt;WORKDAY('Inputs'!$B$14,B21-1)),"DATE",IF(AND(J21="Done",K21=""),"EVIDENCE",IF(AND(J21="Blocked",L21=""),"NEXT STEP","OK"))))))</x:f>
        <x:v>OK</x:v>
      </x:c>
    </x:row>
    <x:row r="22" ht="58" customHeight="1">
      <x:c r="A22" s="2" t="str">
        <x:v>N01</x:v>
      </x:c>
      <x:c r="B22" s="14" t="n">
        <x:v>2</x:v>
      </x:c>
      <x:c r="C22" s="15" t="n">
        <x:f>IF(AND(ISNUMBER(B22),B22&gt;=1,B22&lt;=10,MOD(B22,1)=0),INDEX('Inputs'!$B$21:$B$30,B22),"")</x:f>
        <x:v>46274</x:v>
      </x:c>
      <x:c r="D22" s="12" t="str">
        <x:v>Nate Osei</x:v>
      </x:c>
      <x:c r="E22" s="12" t="str">
        <x:v>Ephrata</x:v>
      </x:c>
      <x:c r="F22" s="16" t="n">
        <x:v>3</x:v>
      </x:c>
      <x:c r="G22" s="18" t="str">
        <x:v>Bounded routing config review and controlled tests</x:v>
      </x:c>
      <x:c r="H22" s="18" t="str">
        <x:v>Approved roster; call trace; agreed recipients</x:v>
      </x:c>
      <x:c r="I22" s="18" t="str">
        <x:v>Before/after config, routing/boundary evidence</x:v>
      </x:c>
      <x:c r="J22" s="19" t="str">
        <x:v>Planned</x:v>
      </x:c>
      <x:c r="K22" s="19"/>
      <x:c r="L22" s="19"/>
      <x:c r="M22" s="12" t="str">
        <x:f>IF(OR(COUNTBLANK(B22:F22)&gt;0,NOT(ISNUMBER(F22)),F22&lt;0),"INPUT",IF(COUNTIFS('Inputs'!$A$6:$A$10,D22)&lt;&gt;1,"OWNER",IF(NOT(OR(E22="Ephrata",E22="Durant",E22="Medford",E22="Portfolio",E22="Coverage")),"ACCOUNT",IF(OR(C22&lt;'Inputs'!$B$14,C22&gt;'Inputs'!$B$15,WEEKDAY(C22,2)&gt;5,C22&lt;&gt;WORKDAY('Inputs'!$B$14,B22-1)),"DATE",IF(AND(J22="Done",K22=""),"EVIDENCE",IF(AND(J22="Blocked",L22=""),"NEXT STEP","OK"))))))</x:f>
        <x:v>OK</x:v>
      </x:c>
    </x:row>
    <x:row r="23" ht="58" customHeight="1">
      <x:c r="A23" s="2" t="str">
        <x:v>H03</x:v>
      </x:c>
      <x:c r="B23" s="14" t="n">
        <x:v>3</x:v>
      </x:c>
      <x:c r="C23" s="15" t="n">
        <x:f>IF(AND(ISNUMBER(B23),B23&gt;=1,B23&lt;=10,MOD(B23,1)=0),INDEX('Inputs'!$B$21:$B$30,B23),"")</x:f>
        <x:v>46275</x:v>
      </x:c>
      <x:c r="D23" s="12" t="str">
        <x:v>Head of Deployment &amp; Customer Ops</x:v>
      </x:c>
      <x:c r="E23" s="12" t="str">
        <x:v>Portfolio</x:v>
      </x:c>
      <x:c r="F23" s="16" t="n">
        <x:v>0.5</x:v>
      </x:c>
      <x:c r="G23" s="18" t="str">
        <x:v>Review allocation and reserve decisions</x:v>
      </x:c>
      <x:c r="H23" s="18" t="str">
        <x:v>Daily usage and outstanding obligations</x:v>
      </x:c>
      <x:c r="I23" s="18" t="str">
        <x:v>Capacity ledger updated</x:v>
      </x:c>
      <x:c r="J23" s="19" t="str">
        <x:v>Planned</x:v>
      </x:c>
      <x:c r="K23" s="19"/>
      <x:c r="L23" s="19"/>
      <x:c r="M23" s="12" t="str">
        <x:f>IF(OR(COUNTBLANK(B23:F23)&gt;0,NOT(ISNUMBER(F23)),F23&lt;0),"INPUT",IF(COUNTIFS('Inputs'!$A$6:$A$10,D23)&lt;&gt;1,"OWNER",IF(NOT(OR(E23="Ephrata",E23="Durant",E23="Medford",E23="Portfolio",E23="Coverage")),"ACCOUNT",IF(OR(C23&lt;'Inputs'!$B$14,C23&gt;'Inputs'!$B$15,WEEKDAY(C23,2)&gt;5,C23&lt;&gt;WORKDAY('Inputs'!$B$14,B23-1)),"DATE",IF(AND(J23="Done",K23=""),"EVIDENCE",IF(AND(J23="Blocked",L23=""),"NEXT STEP","OK"))))))</x:f>
        <x:v>OK</x:v>
      </x:c>
    </x:row>
    <x:row r="24" ht="58" customHeight="1">
      <x:c r="A24" s="2" t="str">
        <x:v>H04</x:v>
      </x:c>
      <x:c r="B24" s="14" t="n">
        <x:v>3</x:v>
      </x:c>
      <x:c r="C24" s="15" t="n">
        <x:f>IF(AND(ISNUMBER(B24),B24&gt;=1,B24&lt;=10,MOD(B24,1)=0),INDEX('Inputs'!$B$21:$B$30,B24),"")</x:f>
        <x:v>46275</x:v>
      </x:c>
      <x:c r="D24" s="12" t="str">
        <x:v>Head of Deployment &amp; Customer Ops</x:v>
      </x:c>
      <x:c r="E24" s="12" t="str">
        <x:v>Ephrata</x:v>
      </x:c>
      <x:c r="F24" s="16" t="n">
        <x:v>0.25</x:v>
      </x:c>
      <x:c r="G24" s="18" t="str">
        <x:v>Review sync findings and next gate</x:v>
      </x:c>
      <x:c r="H24" s="18" t="str">
        <x:v>Initial sync trace</x:v>
      </x:c>
      <x:c r="I24" s="18" t="str">
        <x:v>Decision recorded</x:v>
      </x:c>
      <x:c r="J24" s="19" t="str">
        <x:v>Planned</x:v>
      </x:c>
      <x:c r="K24" s="19"/>
      <x:c r="L24" s="19"/>
      <x:c r="M24" s="12" t="str">
        <x:f>IF(OR(COUNTBLANK(B24:F24)&gt;0,NOT(ISNUMBER(F24)),F24&lt;0),"INPUT",IF(COUNTIFS('Inputs'!$A$6:$A$10,D24)&lt;&gt;1,"OWNER",IF(NOT(OR(E24="Ephrata",E24="Durant",E24="Medford",E24="Portfolio",E24="Coverage")),"ACCOUNT",IF(OR(C24&lt;'Inputs'!$B$14,C24&gt;'Inputs'!$B$15,WEEKDAY(C24,2)&gt;5,C24&lt;&gt;WORKDAY('Inputs'!$B$14,B24-1)),"DATE",IF(AND(J24="Done",K24=""),"EVIDENCE",IF(AND(J24="Blocked",L24=""),"NEXT STEP","OK"))))))</x:f>
        <x:v>OK</x:v>
      </x:c>
    </x:row>
    <x:row r="25" ht="58" customHeight="1">
      <x:c r="A25" s="2" t="str">
        <x:v>P04</x:v>
      </x:c>
      <x:c r="B25" s="14" t="n">
        <x:v>3</x:v>
      </x:c>
      <x:c r="C25" s="15" t="n">
        <x:f>IF(AND(ISNUMBER(B25),B25&gt;=1,B25&lt;=10,MOD(B25,1)=0),INDEX('Inputs'!$B$21:$B$30,B25),"")</x:f>
        <x:v>46275</x:v>
      </x:c>
      <x:c r="D25" s="12" t="str">
        <x:v>Priya Chandrasekaran</x:v>
      </x:c>
      <x:c r="E25" s="12" t="str">
        <x:v>Ephrata</x:v>
      </x:c>
      <x:c r="F25" s="16" t="n">
        <x:v>3</x:v>
      </x:c>
      <x:c r="G25" s="18" t="str">
        <x:v>Map actual shift-end events and failed cases</x:v>
      </x:c>
      <x:c r="H25" s="18" t="str">
        <x:v>Caregiver IDs / access</x:v>
      </x:c>
      <x:c r="I25" s="18" t="str">
        <x:v>Expected vs actual event chain</x:v>
      </x:c>
      <x:c r="J25" s="19" t="str">
        <x:v>Planned</x:v>
      </x:c>
      <x:c r="K25" s="19"/>
      <x:c r="L25" s="19"/>
      <x:c r="M25" s="12" t="str">
        <x:f>IF(OR(COUNTBLANK(B25:F25)&gt;0,NOT(ISNUMBER(F25)),F25&lt;0),"INPUT",IF(COUNTIFS('Inputs'!$A$6:$A$10,D25)&lt;&gt;1,"OWNER",IF(NOT(OR(E25="Ephrata",E25="Durant",E25="Medford",E25="Portfolio",E25="Coverage")),"ACCOUNT",IF(OR(C25&lt;'Inputs'!$B$14,C25&gt;'Inputs'!$B$15,WEEKDAY(C25,2)&gt;5,C25&lt;&gt;WORKDAY('Inputs'!$B$14,B25-1)),"DATE",IF(AND(J25="Done",K25=""),"EVIDENCE",IF(AND(J25="Blocked",L25=""),"NEXT STEP","OK"))))))</x:f>
        <x:v>OK</x:v>
      </x:c>
    </x:row>
    <x:row r="26" ht="58" customHeight="1">
      <x:c r="A26" s="2" t="str">
        <x:v>P05</x:v>
      </x:c>
      <x:c r="B26" s="14" t="n">
        <x:v>3</x:v>
      </x:c>
      <x:c r="C26" s="15" t="n">
        <x:f>IF(AND(ISNUMBER(B26),B26&gt;=1,B26&lt;=10,MOD(B26,1)=0),INDEX('Inputs'!$B$21:$B$30,B26),"")</x:f>
        <x:v>46275</x:v>
      </x:c>
      <x:c r="D26" s="12" t="str">
        <x:v>Priya Chandrasekaran</x:v>
      </x:c>
      <x:c r="E26" s="12" t="str">
        <x:v>Portfolio</x:v>
      </x:c>
      <x:c r="F26" s="16" t="n">
        <x:v>1</x:v>
      </x:c>
      <x:c r="G26" s="18" t="str">
        <x:v>Reconcile commitments and hours used</x:v>
      </x:c>
      <x:c r="H26" s="18" t="str">
        <x:v>Workstream estimates</x:v>
      </x:c>
      <x:c r="I26" s="18" t="str">
        <x:v>Updated allocation forecast</x:v>
      </x:c>
      <x:c r="J26" s="19" t="str">
        <x:v>Planned</x:v>
      </x:c>
      <x:c r="K26" s="19"/>
      <x:c r="L26" s="19"/>
      <x:c r="M26" s="12" t="str">
        <x:f>IF(OR(COUNTBLANK(B26:F26)&gt;0,NOT(ISNUMBER(F26)),F26&lt;0),"INPUT",IF(COUNTIFS('Inputs'!$A$6:$A$10,D26)&lt;&gt;1,"OWNER",IF(NOT(OR(E26="Ephrata",E26="Durant",E26="Medford",E26="Portfolio",E26="Coverage")),"ACCOUNT",IF(OR(C26&lt;'Inputs'!$B$14,C26&gt;'Inputs'!$B$15,WEEKDAY(C26,2)&gt;5,C26&lt;&gt;WORKDAY('Inputs'!$B$14,B26-1)),"DATE",IF(AND(J26="Done",K26=""),"EVIDENCE",IF(AND(J26="Blocked",L26=""),"NEXT STEP","OK"))))))</x:f>
        <x:v>OK</x:v>
      </x:c>
    </x:row>
    <x:row r="27" ht="58" customHeight="1">
      <x:c r="A27" s="2" t="str">
        <x:v>J06</x:v>
      </x:c>
      <x:c r="B27" s="14" t="n">
        <x:v>3</x:v>
      </x:c>
      <x:c r="C27" s="15" t="n">
        <x:f>IF(AND(ISNUMBER(B27),B27&gt;=1,B27&lt;=10,MOD(B27,1)=0),INDEX('Inputs'!$B$21:$B$30,B27),"")</x:f>
        <x:v>46275</x:v>
      </x:c>
      <x:c r="D27" s="12" t="str">
        <x:v>Jordan Kwan</x:v>
      </x:c>
      <x:c r="E27" s="12" t="str">
        <x:v>Durant</x:v>
      </x:c>
      <x:c r="F27" s="16" t="n">
        <x:v>1</x:v>
      </x:c>
      <x:c r="G27" s="18" t="str">
        <x:v>Validate export and resolve format issues</x:v>
      </x:c>
      <x:c r="H27" s="18" t="str">
        <x:v>J04 export; Diego independent review</x:v>
      </x:c>
      <x:c r="I27" s="18" t="str">
        <x:v>Sample records and counts reconciled</x:v>
      </x:c>
      <x:c r="J27" s="19" t="str">
        <x:v>Planned</x:v>
      </x:c>
      <x:c r="K27" s="19"/>
      <x:c r="L27" s="19"/>
      <x:c r="M27" s="12" t="str">
        <x:f>IF(OR(COUNTBLANK(B27:F27)&gt;0,NOT(ISNUMBER(F27)),F27&lt;0),"INPUT",IF(COUNTIFS('Inputs'!$A$6:$A$10,D27)&lt;&gt;1,"OWNER",IF(NOT(OR(E27="Ephrata",E27="Durant",E27="Medford",E27="Portfolio",E27="Coverage")),"ACCOUNT",IF(OR(C27&lt;'Inputs'!$B$14,C27&gt;'Inputs'!$B$15,WEEKDAY(C27,2)&gt;5,C27&lt;&gt;WORKDAY('Inputs'!$B$14,B27-1)),"DATE",IF(AND(J27="Done",K27=""),"EVIDENCE",IF(AND(J27="Blocked",L27=""),"NEXT STEP","OK"))))))</x:f>
        <x:v>OK</x:v>
      </x:c>
    </x:row>
    <x:row r="28" ht="58" customHeight="1">
      <x:c r="A28" s="2" t="str">
        <x:v>J07</x:v>
      </x:c>
      <x:c r="B28" s="14" t="n">
        <x:v>3</x:v>
      </x:c>
      <x:c r="C28" s="15" t="n">
        <x:f>IF(AND(ISNUMBER(B28),B28&gt;=1,B28&lt;=10,MOD(B28,1)=0),INDEX('Inputs'!$B$21:$B$30,B28),"")</x:f>
        <x:v>46275</x:v>
      </x:c>
      <x:c r="D28" s="12" t="str">
        <x:v>Jordan Kwan</x:v>
      </x:c>
      <x:c r="E28" s="12" t="str">
        <x:v>Ephrata</x:v>
      </x:c>
      <x:c r="F28" s="16" t="n">
        <x:v>1</x:v>
      </x:c>
      <x:c r="G28" s="18" t="str">
        <x:v>Peer-review routing and availability test design</x:v>
      </x:c>
      <x:c r="H28" s="18" t="str">
        <x:v>Incident packet / test matrix</x:v>
      </x:c>
      <x:c r="I28" s="18" t="str">
        <x:v>Discriminating checks documented</x:v>
      </x:c>
      <x:c r="J28" s="19" t="str">
        <x:v>Planned</x:v>
      </x:c>
      <x:c r="K28" s="19"/>
      <x:c r="L28" s="19"/>
      <x:c r="M28" s="12" t="str">
        <x:f>IF(OR(COUNTBLANK(B28:F28)&gt;0,NOT(ISNUMBER(F28)),F28&lt;0),"INPUT",IF(COUNTIFS('Inputs'!$A$6:$A$10,D28)&lt;&gt;1,"OWNER",IF(NOT(OR(E28="Ephrata",E28="Durant",E28="Medford",E28="Portfolio",E28="Coverage")),"ACCOUNT",IF(OR(C28&lt;'Inputs'!$B$14,C28&gt;'Inputs'!$B$15,WEEKDAY(C28,2)&gt;5,C28&lt;&gt;WORKDAY('Inputs'!$B$14,B28-1)),"DATE",IF(AND(J28="Done",K28=""),"EVIDENCE",IF(AND(J28="Blocked",L28=""),"NEXT STEP","OK"))))))</x:f>
        <x:v>OK</x:v>
      </x:c>
    </x:row>
    <x:row r="29" ht="58" customHeight="1">
      <x:c r="A29" s="2" t="str">
        <x:v>D05</x:v>
      </x:c>
      <x:c r="B29" s="14" t="n">
        <x:v>3</x:v>
      </x:c>
      <x:c r="C29" s="15" t="n">
        <x:f>IF(AND(ISNUMBER(B29),B29&gt;=1,B29&lt;=10,MOD(B29,1)=0),INDEX('Inputs'!$B$21:$B$30,B29),"")</x:f>
        <x:v>46275</x:v>
      </x:c>
      <x:c r="D29" s="12" t="str">
        <x:v>Diego Marsh</x:v>
      </x:c>
      <x:c r="E29" s="12" t="str">
        <x:v>Ephrata</x:v>
      </x:c>
      <x:c r="F29" s="16" t="n">
        <x:v>1</x:v>
      </x:c>
      <x:c r="G29" s="18" t="str">
        <x:v>Set up evidence / exception tracking</x:v>
      </x:c>
      <x:c r="H29" s="18" t="str">
        <x:v>Existing authorized logs and ticket access</x:v>
      </x:c>
      <x:c r="I29" s="18" t="str">
        <x:v>Tracker with owner and next checkpoint</x:v>
      </x:c>
      <x:c r="J29" s="19" t="str">
        <x:v>Planned</x:v>
      </x:c>
      <x:c r="K29" s="19"/>
      <x:c r="L29" s="19"/>
      <x:c r="M29" s="12" t="str">
        <x:f>IF(OR(COUNTBLANK(B29:F29)&gt;0,NOT(ISNUMBER(F29)),F29&lt;0),"INPUT",IF(COUNTIFS('Inputs'!$A$6:$A$10,D29)&lt;&gt;1,"OWNER",IF(NOT(OR(E29="Ephrata",E29="Durant",E29="Medford",E29="Portfolio",E29="Coverage")),"ACCOUNT",IF(OR(C29&lt;'Inputs'!$B$14,C29&gt;'Inputs'!$B$15,WEEKDAY(C29,2)&gt;5,C29&lt;&gt;WORKDAY('Inputs'!$B$14,B29-1)),"DATE",IF(AND(J29="Done",K29=""),"EVIDENCE",IF(AND(J29="Blocked",L29=""),"NEXT STEP","OK"))))))</x:f>
        <x:v>OK</x:v>
      </x:c>
    </x:row>
    <x:row r="30" ht="58" customHeight="1">
      <x:c r="A30" s="2" t="str">
        <x:v>D06</x:v>
      </x:c>
      <x:c r="B30" s="14" t="n">
        <x:v>3</x:v>
      </x:c>
      <x:c r="C30" s="15" t="n">
        <x:f>IF(AND(ISNUMBER(B30),B30&gt;=1,B30&lt;=10,MOD(B30,1)=0),INDEX('Inputs'!$B$21:$B$30,B30),"")</x:f>
        <x:v>46275</x:v>
      </x:c>
      <x:c r="D30" s="12" t="str">
        <x:v>Diego Marsh</x:v>
      </x:c>
      <x:c r="E30" s="12" t="str">
        <x:v>Durant</x:v>
      </x:c>
      <x:c r="F30" s="16" t="n">
        <x:v>1</x:v>
      </x:c>
      <x:c r="G30" s="18" t="str">
        <x:v>Validate final-invoice reconciliation</x:v>
      </x:c>
      <x:c r="H30" s="18" t="str">
        <x:v>Draft invoice; September 18 service date</x:v>
      </x:c>
      <x:c r="I30" s="18" t="str">
        <x:v>Reconciled invoice evidence</x:v>
      </x:c>
      <x:c r="J30" s="19" t="str">
        <x:v>Planned</x:v>
      </x:c>
      <x:c r="K30" s="19"/>
      <x:c r="L30" s="19"/>
      <x:c r="M30" s="12" t="str">
        <x:f>IF(OR(COUNTBLANK(B30:F30)&gt;0,NOT(ISNUMBER(F30)),F30&lt;0),"INPUT",IF(COUNTIFS('Inputs'!$A$6:$A$10,D30)&lt;&gt;1,"OWNER",IF(NOT(OR(E30="Ephrata",E30="Durant",E30="Medford",E30="Portfolio",E30="Coverage")),"ACCOUNT",IF(OR(C30&lt;'Inputs'!$B$14,C30&gt;'Inputs'!$B$15,WEEKDAY(C30,2)&gt;5,C30&lt;&gt;WORKDAY('Inputs'!$B$14,B30-1)),"DATE",IF(AND(J30="Done",K30=""),"EVIDENCE",IF(AND(J30="Blocked",L30=""),"NEXT STEP","OK"))))))</x:f>
        <x:v>OK</x:v>
      </x:c>
    </x:row>
    <x:row r="31" ht="58" customHeight="1">
      <x:c r="A31" s="2" t="str">
        <x:v>Q03</x:v>
      </x:c>
      <x:c r="B31" s="14" t="n">
        <x:v>3</x:v>
      </x:c>
      <x:c r="C31" s="15" t="n">
        <x:f>IF(AND(ISNUMBER(B31),B31&gt;=1,B31&lt;=10,MOD(B31,1)=0),INDEX('Inputs'!$B$21:$B$30,B31),"")</x:f>
        <x:v>46275</x:v>
      </x:c>
      <x:c r="D31" s="12" t="str">
        <x:v>Diego Marsh</x:v>
      </x:c>
      <x:c r="E31" s="12" t="str">
        <x:v>Coverage</x:v>
      </x:c>
      <x:c r="F31" s="16" t="n">
        <x:v>2</x:v>
      </x:c>
      <x:c r="G31" s="18" t="str">
        <x:v>Protected standing support queue coverage</x:v>
      </x:c>
      <x:c r="H31" s="18" t="str">
        <x:v>Standing all-account ticket queue</x:v>
      </x:c>
      <x:c r="I31" s="18" t="str">
        <x:v>Coverage hours retained; queue handoff</x:v>
      </x:c>
      <x:c r="J31" s="19" t="str">
        <x:v>Planned</x:v>
      </x:c>
      <x:c r="K31" s="19"/>
      <x:c r="L31" s="19"/>
      <x:c r="M31" s="12" t="str">
        <x:f>IF(OR(COUNTBLANK(B31:F31)&gt;0,NOT(ISNUMBER(F31)),F31&lt;0),"INPUT",IF(COUNTIFS('Inputs'!$A$6:$A$10,D31)&lt;&gt;1,"OWNER",IF(NOT(OR(E31="Ephrata",E31="Durant",E31="Medford",E31="Portfolio",E31="Coverage")),"ACCOUNT",IF(OR(C31&lt;'Inputs'!$B$14,C31&gt;'Inputs'!$B$15,WEEKDAY(C31,2)&gt;5,C31&lt;&gt;WORKDAY('Inputs'!$B$14,B31-1)),"DATE",IF(AND(J31="Done",K31=""),"EVIDENCE",IF(AND(J31="Blocked",L31=""),"NEXT STEP","OK"))))))</x:f>
        <x:v>OK</x:v>
      </x:c>
    </x:row>
    <x:row r="32" ht="58" customHeight="1">
      <x:c r="A32" s="2" t="str">
        <x:v>N02</x:v>
      </x:c>
      <x:c r="B32" s="14" t="n">
        <x:v>3</x:v>
      </x:c>
      <x:c r="C32" s="15" t="n">
        <x:f>IF(AND(ISNUMBER(B32),B32&gt;=1,B32&lt;=10,MOD(B32,1)=0),INDEX('Inputs'!$B$21:$B$30,B32),"")</x:f>
        <x:v>46275</x:v>
      </x:c>
      <x:c r="D32" s="12" t="str">
        <x:v>Nate Osei</x:v>
      </x:c>
      <x:c r="E32" s="12" t="str">
        <x:v>Ephrata</x:v>
      </x:c>
      <x:c r="F32" s="16" t="n">
        <x:v>3</x:v>
      </x:c>
      <x:c r="G32" s="18" t="str">
        <x:v>WellSky audit: event, mapping, permission, write</x:v>
      </x:c>
      <x:c r="H32" s="18" t="str">
        <x:v>Affected IDs; event and write access</x:v>
      </x:c>
      <x:c r="I32" s="18" t="str">
        <x:v>End-to-end trace and technical findings</x:v>
      </x:c>
      <x:c r="J32" s="19" t="str">
        <x:v>Planned</x:v>
      </x:c>
      <x:c r="K32" s="19"/>
      <x:c r="L32" s="19"/>
      <x:c r="M32" s="12" t="str">
        <x:f>IF(OR(COUNTBLANK(B32:F32)&gt;0,NOT(ISNUMBER(F32)),F32&lt;0),"INPUT",IF(COUNTIFS('Inputs'!$A$6:$A$10,D32)&lt;&gt;1,"OWNER",IF(NOT(OR(E32="Ephrata",E32="Durant",E32="Medford",E32="Portfolio",E32="Coverage")),"ACCOUNT",IF(OR(C32&lt;'Inputs'!$B$14,C32&gt;'Inputs'!$B$15,WEEKDAY(C32,2)&gt;5,C32&lt;&gt;WORKDAY('Inputs'!$B$14,B32-1)),"DATE",IF(AND(J32="Done",K32=""),"EVIDENCE",IF(AND(J32="Blocked",L32=""),"NEXT STEP","OK"))))))</x:f>
        <x:v>OK</x:v>
      </x:c>
    </x:row>
    <x:row r="33" ht="58" customHeight="1">
      <x:c r="A33" s="2" t="str">
        <x:v>H05</x:v>
      </x:c>
      <x:c r="B33" s="14" t="n">
        <x:v>4</x:v>
      </x:c>
      <x:c r="C33" s="15" t="n">
        <x:f>IF(AND(ISNUMBER(B33),B33&gt;=1,B33&lt;=10,MOD(B33,1)=0),INDEX('Inputs'!$B$21:$B$30,B33),"")</x:f>
        <x:v>46276</x:v>
      </x:c>
      <x:c r="D33" s="12" t="str">
        <x:v>Head of Deployment &amp; Customer Ops</x:v>
      </x:c>
      <x:c r="E33" s="12" t="str">
        <x:v>Ephrata</x:v>
      </x:c>
      <x:c r="F33" s="16" t="n">
        <x:v>0.5</x:v>
      </x:c>
      <x:c r="G33" s="18" t="str">
        <x:v>Decide observation readiness or escalate</x:v>
      </x:c>
      <x:c r="H33" s="18" t="str">
        <x:v>Engineering 9h outcome; test gaps</x:v>
      </x:c>
      <x:c r="I33" s="18" t="str">
        <x:v>Ready / inconclusive / blocked decision</x:v>
      </x:c>
      <x:c r="J33" s="19" t="str">
        <x:v>Planned</x:v>
      </x:c>
      <x:c r="K33" s="19"/>
      <x:c r="L33" s="19"/>
      <x:c r="M33" s="12" t="str">
        <x:f>IF(OR(COUNTBLANK(B33:F33)&gt;0,NOT(ISNUMBER(F33)),F33&lt;0),"INPUT",IF(COUNTIFS('Inputs'!$A$6:$A$10,D33)&lt;&gt;1,"OWNER",IF(NOT(OR(E33="Ephrata",E33="Durant",E33="Medford",E33="Portfolio",E33="Coverage")),"ACCOUNT",IF(OR(C33&lt;'Inputs'!$B$14,C33&gt;'Inputs'!$B$15,WEEKDAY(C33,2)&gt;5,C33&lt;&gt;WORKDAY('Inputs'!$B$14,B33-1)),"DATE",IF(AND(J33="Done",K33=""),"EVIDENCE",IF(AND(J33="Blocked",L33=""),"NEXT STEP","OK"))))))</x:f>
        <x:v>OK</x:v>
      </x:c>
    </x:row>
    <x:row r="34" ht="58" customHeight="1">
      <x:c r="A34" s="2" t="str">
        <x:v>P06</x:v>
      </x:c>
      <x:c r="B34" s="14" t="n">
        <x:v>4</x:v>
      </x:c>
      <x:c r="C34" s="15" t="n">
        <x:f>IF(AND(ISNUMBER(B34),B34&gt;=1,B34&lt;=10,MOD(B34,1)=0),INDEX('Inputs'!$B$21:$B$30,B34),"")</x:f>
        <x:v>46276</x:v>
      </x:c>
      <x:c r="D34" s="12" t="str">
        <x:v>Priya Chandrasekaran</x:v>
      </x:c>
      <x:c r="E34" s="12" t="str">
        <x:v>Ephrata</x:v>
      </x:c>
      <x:c r="F34" s="16" t="n">
        <x:v>3</x:v>
      </x:c>
      <x:c r="G34" s="18" t="str">
        <x:v>Verification conversation and written checkpoint</x:v>
      </x:c>
      <x:c r="H34" s="18" t="str">
        <x:v>Engineering evidence; customer time</x:v>
      </x:c>
      <x:c r="I34" s="18" t="str">
        <x:v>Customer-reviewed knowns, unknowns, criteria</x:v>
      </x:c>
      <x:c r="J34" s="19" t="str">
        <x:v>Planned</x:v>
      </x:c>
      <x:c r="K34" s="19"/>
      <x:c r="L34" s="19"/>
      <x:c r="M34" s="12" t="str">
        <x:f>IF(OR(COUNTBLANK(B34:F34)&gt;0,NOT(ISNUMBER(F34)),F34&lt;0),"INPUT",IF(COUNTIFS('Inputs'!$A$6:$A$10,D34)&lt;&gt;1,"OWNER",IF(NOT(OR(E34="Ephrata",E34="Durant",E34="Medford",E34="Portfolio",E34="Coverage")),"ACCOUNT",IF(OR(C34&lt;'Inputs'!$B$14,C34&gt;'Inputs'!$B$15,WEEKDAY(C34,2)&gt;5,C34&lt;&gt;WORKDAY('Inputs'!$B$14,B34-1)),"DATE",IF(AND(J34="Done",K34=""),"EVIDENCE",IF(AND(J34="Blocked",L34=""),"NEXT STEP","OK"))))))</x:f>
        <x:v>OK</x:v>
      </x:c>
    </x:row>
    <x:row r="35" ht="58" customHeight="1">
      <x:c r="A35" s="2" t="str">
        <x:v>J08</x:v>
      </x:c>
      <x:c r="B35" s="14" t="n">
        <x:v>4</x:v>
      </x:c>
      <x:c r="C35" s="15" t="n">
        <x:f>IF(AND(ISNUMBER(B35),B35&gt;=1,B35&lt;=10,MOD(B35,1)=0),INDEX('Inputs'!$B$21:$B$30,B35),"")</x:f>
        <x:v>46276</x:v>
      </x:c>
      <x:c r="D35" s="12" t="str">
        <x:v>Jordan Kwan</x:v>
      </x:c>
      <x:c r="E35" s="12" t="str">
        <x:v>Durant</x:v>
      </x:c>
      <x:c r="F35" s="16" t="n">
        <x:v>0.5</x:v>
      </x:c>
      <x:c r="G35" s="18" t="str">
        <x:v>Deliver validated export by target</x:v>
      </x:c>
      <x:c r="H35" s="18" t="str">
        <x:v>J06 validation; recipient authorization</x:v>
      </x:c>
      <x:c r="I35" s="18" t="str">
        <x:v>Delivery receipt or target risk flagged</x:v>
      </x:c>
      <x:c r="J35" s="19" t="str">
        <x:v>Planned</x:v>
      </x:c>
      <x:c r="K35" s="19"/>
      <x:c r="L35" s="19"/>
      <x:c r="M35" s="12" t="str">
        <x:f>IF(OR(COUNTBLANK(B35:F35)&gt;0,NOT(ISNUMBER(F35)),F35&lt;0),"INPUT",IF(COUNTIFS('Inputs'!$A$6:$A$10,D35)&lt;&gt;1,"OWNER",IF(NOT(OR(E35="Ephrata",E35="Durant",E35="Medford",E35="Portfolio",E35="Coverage")),"ACCOUNT",IF(OR(C35&lt;'Inputs'!$B$14,C35&gt;'Inputs'!$B$15,WEEKDAY(C35,2)&gt;5,C35&lt;&gt;WORKDAY('Inputs'!$B$14,B35-1)),"DATE",IF(AND(J35="Done",K35=""),"EVIDENCE",IF(AND(J35="Blocked",L35=""),"NEXT STEP","OK"))))))</x:f>
        <x:v>OK</x:v>
      </x:c>
    </x:row>
    <x:row r="36" ht="58" customHeight="1">
      <x:c r="A36" s="2" t="str">
        <x:v>J09</x:v>
      </x:c>
      <x:c r="B36" s="14" t="n">
        <x:v>4</x:v>
      </x:c>
      <x:c r="C36" s="15" t="n">
        <x:f>IF(AND(ISNUMBER(B36),B36&gt;=1,B36&lt;=10,MOD(B36,1)=0),INDEX('Inputs'!$B$21:$B$30,B36),"")</x:f>
        <x:v>46276</x:v>
      </x:c>
      <x:c r="D36" s="12" t="str">
        <x:v>Jordan Kwan</x:v>
      </x:c>
      <x:c r="E36" s="12" t="str">
        <x:v>Portfolio</x:v>
      </x:c>
      <x:c r="F36" s="16" t="n">
        <x:v>0.5</x:v>
      </x:c>
      <x:c r="G36" s="18" t="str">
        <x:v>Review current allocation and reserves</x:v>
      </x:c>
      <x:c r="H36" s="18" t="str">
        <x:v>Actual hours / delivery risks</x:v>
      </x:c>
      <x:c r="I36" s="18" t="str">
        <x:v>Reallocation requests recorded</x:v>
      </x:c>
      <x:c r="J36" s="19" t="str">
        <x:v>Planned</x:v>
      </x:c>
      <x:c r="K36" s="19"/>
      <x:c r="L36" s="19"/>
      <x:c r="M36" s="12" t="str">
        <x:f>IF(OR(COUNTBLANK(B36:F36)&gt;0,NOT(ISNUMBER(F36)),F36&lt;0),"INPUT",IF(COUNTIFS('Inputs'!$A$6:$A$10,D36)&lt;&gt;1,"OWNER",IF(NOT(OR(E36="Ephrata",E36="Durant",E36="Medford",E36="Portfolio",E36="Coverage")),"ACCOUNT",IF(OR(C36&lt;'Inputs'!$B$14,C36&gt;'Inputs'!$B$15,WEEKDAY(C36,2)&gt;5,C36&lt;&gt;WORKDAY('Inputs'!$B$14,B36-1)),"DATE",IF(AND(J36="Done",K36=""),"EVIDENCE",IF(AND(J36="Blocked",L36=""),"NEXT STEP","OK"))))))</x:f>
        <x:v>OK</x:v>
      </x:c>
    </x:row>
    <x:row r="37" ht="58" customHeight="1">
      <x:c r="A37" s="2" t="str">
        <x:v>D07</x:v>
      </x:c>
      <x:c r="B37" s="14" t="n">
        <x:v>4</x:v>
      </x:c>
      <x:c r="C37" s="15" t="n">
        <x:f>IF(AND(ISNUMBER(B37),B37&gt;=1,B37&lt;=10,MOD(B37,1)=0),INDEX('Inputs'!$B$21:$B$30,B37),"")</x:f>
        <x:v>46276</x:v>
      </x:c>
      <x:c r="D37" s="12" t="str">
        <x:v>Diego Marsh</x:v>
      </x:c>
      <x:c r="E37" s="12" t="str">
        <x:v>Ephrata</x:v>
      </x:c>
      <x:c r="F37" s="16" t="n">
        <x:v>1</x:v>
      </x:c>
      <x:c r="G37" s="18" t="str">
        <x:v>Prepare passive log review and observation sample</x:v>
      </x:c>
      <x:c r="H37" s="18" t="str">
        <x:v>Test outcome / log availability</x:v>
      </x:c>
      <x:c r="I37" s="18" t="str">
        <x:v>Sample population and collection plan</x:v>
      </x:c>
      <x:c r="J37" s="19" t="str">
        <x:v>Planned</x:v>
      </x:c>
      <x:c r="K37" s="19"/>
      <x:c r="L37" s="19"/>
      <x:c r="M37" s="12" t="str">
        <x:f>IF(OR(COUNTBLANK(B37:F37)&gt;0,NOT(ISNUMBER(F37)),F37&lt;0),"INPUT",IF(COUNTIFS('Inputs'!$A$6:$A$10,D37)&lt;&gt;1,"OWNER",IF(NOT(OR(E37="Ephrata",E37="Durant",E37="Medford",E37="Portfolio",E37="Coverage")),"ACCOUNT",IF(OR(C37&lt;'Inputs'!$B$14,C37&gt;'Inputs'!$B$15,WEEKDAY(C37,2)&gt;5,C37&lt;&gt;WORKDAY('Inputs'!$B$14,B37-1)),"DATE",IF(AND(J37="Done",K37=""),"EVIDENCE",IF(AND(J37="Blocked",L37=""),"NEXT STEP","OK"))))))</x:f>
        <x:v>OK</x:v>
      </x:c>
    </x:row>
    <x:row r="38" ht="58" customHeight="1">
      <x:c r="A38" s="2" t="str">
        <x:v>D08</x:v>
      </x:c>
      <x:c r="B38" s="14" t="n">
        <x:v>4</x:v>
      </x:c>
      <x:c r="C38" s="15" t="n">
        <x:f>IF(AND(ISNUMBER(B38),B38&gt;=1,B38&lt;=10,MOD(B38,1)=0),INDEX('Inputs'!$B$21:$B$30,B38),"")</x:f>
        <x:v>46276</x:v>
      </x:c>
      <x:c r="D38" s="12" t="str">
        <x:v>Diego Marsh</x:v>
      </x:c>
      <x:c r="E38" s="12" t="str">
        <x:v>Durant</x:v>
      </x:c>
      <x:c r="F38" s="16" t="n">
        <x:v>0.5</x:v>
      </x:c>
      <x:c r="G38" s="18" t="str">
        <x:v>Confirm export receipt and exit checklist</x:v>
      </x:c>
      <x:c r="H38" s="18" t="str">
        <x:v>J08 authorized delivery</x:v>
      </x:c>
      <x:c r="I38" s="18" t="str">
        <x:v>Receipt or explicit delivery block</x:v>
      </x:c>
      <x:c r="J38" s="19" t="str">
        <x:v>Planned</x:v>
      </x:c>
      <x:c r="K38" s="19"/>
      <x:c r="L38" s="19"/>
      <x:c r="M38" s="12" t="str">
        <x:f>IF(OR(COUNTBLANK(B38:F38)&gt;0,NOT(ISNUMBER(F38)),F38&lt;0),"INPUT",IF(COUNTIFS('Inputs'!$A$6:$A$10,D38)&lt;&gt;1,"OWNER",IF(NOT(OR(E38="Ephrata",E38="Durant",E38="Medford",E38="Portfolio",E38="Coverage")),"ACCOUNT",IF(OR(C38&lt;'Inputs'!$B$14,C38&gt;'Inputs'!$B$15,WEEKDAY(C38,2)&gt;5,C38&lt;&gt;WORKDAY('Inputs'!$B$14,B38-1)),"DATE",IF(AND(J38="Done",K38=""),"EVIDENCE",IF(AND(J38="Blocked",L38=""),"NEXT STEP","OK"))))))</x:f>
        <x:v>OK</x:v>
      </x:c>
    </x:row>
    <x:row r="39" ht="58" customHeight="1">
      <x:c r="A39" s="2" t="str">
        <x:v>Q04</x:v>
      </x:c>
      <x:c r="B39" s="14" t="n">
        <x:v>4</x:v>
      </x:c>
      <x:c r="C39" s="15" t="n">
        <x:f>IF(AND(ISNUMBER(B39),B39&gt;=1,B39&lt;=10,MOD(B39,1)=0),INDEX('Inputs'!$B$21:$B$30,B39),"")</x:f>
        <x:v>46276</x:v>
      </x:c>
      <x:c r="D39" s="12" t="str">
        <x:v>Diego Marsh</x:v>
      </x:c>
      <x:c r="E39" s="12" t="str">
        <x:v>Coverage</x:v>
      </x:c>
      <x:c r="F39" s="16" t="n">
        <x:v>1</x:v>
      </x:c>
      <x:c r="G39" s="18" t="str">
        <x:v>Protected standing support queue coverage</x:v>
      </x:c>
      <x:c r="H39" s="18" t="str">
        <x:v>Standing all-account ticket queue</x:v>
      </x:c>
      <x:c r="I39" s="18" t="str">
        <x:v>Coverage hours retained; queue handoff</x:v>
      </x:c>
      <x:c r="J39" s="19" t="str">
        <x:v>Planned</x:v>
      </x:c>
      <x:c r="K39" s="19"/>
      <x:c r="L39" s="19"/>
      <x:c r="M39" s="12" t="str">
        <x:f>IF(OR(COUNTBLANK(B39:F39)&gt;0,NOT(ISNUMBER(F39)),F39&lt;0),"INPUT",IF(COUNTIFS('Inputs'!$A$6:$A$10,D39)&lt;&gt;1,"OWNER",IF(NOT(OR(E39="Ephrata",E39="Durant",E39="Medford",E39="Portfolio",E39="Coverage")),"ACCOUNT",IF(OR(C39&lt;'Inputs'!$B$14,C39&gt;'Inputs'!$B$15,WEEKDAY(C39,2)&gt;5,C39&lt;&gt;WORKDAY('Inputs'!$B$14,B39-1)),"DATE",IF(AND(J39="Done",K39=""),"EVIDENCE",IF(AND(J39="Blocked",L39=""),"NEXT STEP","OK"))))))</x:f>
        <x:v>OK</x:v>
      </x:c>
    </x:row>
    <x:row r="40" ht="58" customHeight="1">
      <x:c r="A40" s="2" t="str">
        <x:v>N03</x:v>
      </x:c>
      <x:c r="B40" s="14" t="n">
        <x:v>4</x:v>
      </x:c>
      <x:c r="C40" s="15" t="n">
        <x:f>IF(AND(ISNUMBER(B40),B40&gt;=1,B40&lt;=10,MOD(B40,1)=0),INDEX('Inputs'!$B$21:$B$30,B40),"")</x:f>
        <x:v>46276</x:v>
      </x:c>
      <x:c r="D40" s="12" t="str">
        <x:v>Nate Osei</x:v>
      </x:c>
      <x:c r="E40" s="12" t="str">
        <x:v>Ephrata</x:v>
      </x:c>
      <x:c r="F40" s="16" t="n">
        <x:v>3</x:v>
      </x:c>
      <x:c r="G40" s="18" t="str">
        <x:v>Finish WellSky audit and required tests within cap</x:v>
      </x:c>
      <x:c r="H40" s="18" t="str">
        <x:v>N02 findings; remaining total budget</x:v>
      </x:c>
      <x:c r="I40" s="18" t="str">
        <x:v>Persistence / exception tests; gate and forecast</x:v>
      </x:c>
      <x:c r="J40" s="19" t="str">
        <x:v>Planned</x:v>
      </x:c>
      <x:c r="K40" s="19"/>
      <x:c r="L40" s="19"/>
      <x:c r="M40" s="12" t="str">
        <x:f>IF(OR(COUNTBLANK(B40:F40)&gt;0,NOT(ISNUMBER(F40)),F40&lt;0),"INPUT",IF(COUNTIFS('Inputs'!$A$6:$A$10,D40)&lt;&gt;1,"OWNER",IF(NOT(OR(E40="Ephrata",E40="Durant",E40="Medford",E40="Portfolio",E40="Coverage")),"ACCOUNT",IF(OR(C40&lt;'Inputs'!$B$14,C40&gt;'Inputs'!$B$15,WEEKDAY(C40,2)&gt;5,C40&lt;&gt;WORKDAY('Inputs'!$B$14,B40-1)),"DATE",IF(AND(J40="Done",K40=""),"EVIDENCE",IF(AND(J40="Blocked",L40=""),"NEXT STEP","OK"))))))</x:f>
        <x:v>OK</x:v>
      </x:c>
    </x:row>
    <x:row r="41" ht="58" customHeight="1">
      <x:c r="A41" s="2" t="str">
        <x:v>H06</x:v>
      </x:c>
      <x:c r="B41" s="14" t="n">
        <x:v>5</x:v>
      </x:c>
      <x:c r="C41" s="15" t="n">
        <x:f>IF(AND(ISNUMBER(B41),B41&gt;=1,B41&lt;=10,MOD(B41,1)=0),INDEX('Inputs'!$B$21:$B$30,B41),"")</x:f>
        <x:v>46279</x:v>
      </x:c>
      <x:c r="D41" s="12" t="str">
        <x:v>Head of Deployment &amp; Customer Ops</x:v>
      </x:c>
      <x:c r="E41" s="12" t="str">
        <x:v>Medford</x:v>
      </x:c>
      <x:c r="F41" s="16" t="n">
        <x:v>0.5</x:v>
      </x:c>
      <x:c r="G41" s="18" t="str">
        <x:v>Review restart proposal and approval needs</x:v>
      </x:c>
      <x:c r="H41" s="18" t="str">
        <x:v>Scoping notes</x:v>
      </x:c>
      <x:c r="I41" s="18" t="str">
        <x:v>Proposal boundaries recorded</x:v>
      </x:c>
      <x:c r="J41" s="19" t="str">
        <x:v>Planned</x:v>
      </x:c>
      <x:c r="K41" s="19"/>
      <x:c r="L41" s="19"/>
      <x:c r="M41" s="12" t="str">
        <x:f>IF(OR(COUNTBLANK(B41:F41)&gt;0,NOT(ISNUMBER(F41)),F41&lt;0),"INPUT",IF(COUNTIFS('Inputs'!$A$6:$A$10,D41)&lt;&gt;1,"OWNER",IF(NOT(OR(E41="Ephrata",E41="Durant",E41="Medford",E41="Portfolio",E41="Coverage")),"ACCOUNT",IF(OR(C41&lt;'Inputs'!$B$14,C41&gt;'Inputs'!$B$15,WEEKDAY(C41,2)&gt;5,C41&lt;&gt;WORKDAY('Inputs'!$B$14,B41-1)),"DATE",IF(AND(J41="Done",K41=""),"EVIDENCE",IF(AND(J41="Blocked",L41=""),"NEXT STEP","OK"))))))</x:f>
        <x:v>OK</x:v>
      </x:c>
    </x:row>
    <x:row r="42" ht="58" customHeight="1">
      <x:c r="A42" s="2" t="str">
        <x:v>P07</x:v>
      </x:c>
      <x:c r="B42" s="14" t="n">
        <x:v>5</x:v>
      </x:c>
      <x:c r="C42" s="15" t="n">
        <x:f>IF(AND(ISNUMBER(B42),B42&gt;=1,B42&lt;=10,MOD(B42,1)=0),INDEX('Inputs'!$B$21:$B$30,B42),"")</x:f>
        <x:v>46279</x:v>
      </x:c>
      <x:c r="D42" s="12" t="str">
        <x:v>Priya Chandrasekaran</x:v>
      </x:c>
      <x:c r="E42" s="12" t="str">
        <x:v>Ephrata</x:v>
      </x:c>
      <x:c r="F42" s="16" t="n">
        <x:v>2</x:v>
      </x:c>
      <x:c r="G42" s="18" t="str">
        <x:v>Review weekend logs and morning sample 1</x:v>
      </x:c>
      <x:c r="H42" s="18" t="str">
        <x:v>Ready gate or blocked investigation</x:v>
      </x:c>
      <x:c r="I42" s="18" t="str">
        <x:v>Eligible cases and manual-work baseline</x:v>
      </x:c>
      <x:c r="J42" s="19" t="str">
        <x:v>Planned</x:v>
      </x:c>
      <x:c r="K42" s="19"/>
      <x:c r="L42" s="19"/>
      <x:c r="M42" s="12" t="str">
        <x:f>IF(OR(COUNTBLANK(B42:F42)&gt;0,NOT(ISNUMBER(F42)),F42&lt;0),"INPUT",IF(COUNTIFS('Inputs'!$A$6:$A$10,D42)&lt;&gt;1,"OWNER",IF(NOT(OR(E42="Ephrata",E42="Durant",E42="Medford",E42="Portfolio",E42="Coverage")),"ACCOUNT",IF(OR(C42&lt;'Inputs'!$B$14,C42&gt;'Inputs'!$B$15,WEEKDAY(C42,2)&gt;5,C42&lt;&gt;WORKDAY('Inputs'!$B$14,B42-1)),"DATE",IF(AND(J42="Done",K42=""),"EVIDENCE",IF(AND(J42="Blocked",L42=""),"NEXT STEP","OK"))))))</x:f>
        <x:v>OK</x:v>
      </x:c>
    </x:row>
    <x:row r="43" ht="58" customHeight="1">
      <x:c r="A43" s="2" t="str">
        <x:v>J10</x:v>
      </x:c>
      <x:c r="B43" s="14" t="n">
        <x:v>5</x:v>
      </x:c>
      <x:c r="C43" s="15" t="n">
        <x:f>IF(AND(ISNUMBER(B43),B43&gt;=1,B43&lt;=10,MOD(B43,1)=0),INDEX('Inputs'!$B$21:$B$30,B43),"")</x:f>
        <x:v>46279</x:v>
      </x:c>
      <x:c r="D43" s="12" t="str">
        <x:v>Jordan Kwan</x:v>
      </x:c>
      <x:c r="E43" s="12" t="str">
        <x:v>Medford</x:v>
      </x:c>
      <x:c r="F43" s="16" t="n">
        <x:v>1.5</x:v>
      </x:c>
      <x:c r="G43" s="18" t="str">
        <x:v>Draft scoped restart proposal</x:v>
      </x:c>
      <x:c r="H43" s="18" t="str">
        <x:v>J05 scoping; no implied launch authority</x:v>
      </x:c>
      <x:c r="I43" s="18" t="str">
        <x:v>Prerequisites, capacity needs, approval list</x:v>
      </x:c>
      <x:c r="J43" s="19" t="str">
        <x:v>Planned</x:v>
      </x:c>
      <x:c r="K43" s="19"/>
      <x:c r="L43" s="19"/>
      <x:c r="M43" s="12" t="str">
        <x:f>IF(OR(COUNTBLANK(B43:F43)&gt;0,NOT(ISNUMBER(F43)),F43&lt;0),"INPUT",IF(COUNTIFS('Inputs'!$A$6:$A$10,D43)&lt;&gt;1,"OWNER",IF(NOT(OR(E43="Ephrata",E43="Durant",E43="Medford",E43="Portfolio",E43="Coverage")),"ACCOUNT",IF(OR(C43&lt;'Inputs'!$B$14,C43&gt;'Inputs'!$B$15,WEEKDAY(C43,2)&gt;5,C43&lt;&gt;WORKDAY('Inputs'!$B$14,B43-1)),"DATE",IF(AND(J43="Done",K43=""),"EVIDENCE",IF(AND(J43="Blocked",L43=""),"NEXT STEP","OK"))))))</x:f>
        <x:v>OK</x:v>
      </x:c>
    </x:row>
    <x:row r="44" ht="58" customHeight="1">
      <x:c r="A44" s="2" t="str">
        <x:v>D09</x:v>
      </x:c>
      <x:c r="B44" s="14" t="n">
        <x:v>5</x:v>
      </x:c>
      <x:c r="C44" s="15" t="n">
        <x:f>IF(AND(ISNUMBER(B44),B44&gt;=1,B44&lt;=10,MOD(B44,1)=0),INDEX('Inputs'!$B$21:$B$30,B44),"")</x:f>
        <x:v>46279</x:v>
      </x:c>
      <x:c r="D44" s="12" t="str">
        <x:v>Diego Marsh</x:v>
      </x:c>
      <x:c r="E44" s="12" t="str">
        <x:v>Ephrata</x:v>
      </x:c>
      <x:c r="F44" s="16" t="n">
        <x:v>1</x:v>
      </x:c>
      <x:c r="G44" s="18" t="str">
        <x:v>Review weekend evidence and morning 1</x:v>
      </x:c>
      <x:c r="H44" s="18" t="str">
        <x:v>Ready gate / available logs</x:v>
      </x:c>
      <x:c r="I44" s="18" t="str">
        <x:v>Observed cases and required manual work</x:v>
      </x:c>
      <x:c r="J44" s="19" t="str">
        <x:v>Planned</x:v>
      </x:c>
      <x:c r="K44" s="19"/>
      <x:c r="L44" s="19"/>
      <x:c r="M44" s="12" t="str">
        <x:f>IF(OR(COUNTBLANK(B44:F44)&gt;0,NOT(ISNUMBER(F44)),F44&lt;0),"INPUT",IF(COUNTIFS('Inputs'!$A$6:$A$10,D44)&lt;&gt;1,"OWNER",IF(NOT(OR(E44="Ephrata",E44="Durant",E44="Medford",E44="Portfolio",E44="Coverage")),"ACCOUNT",IF(OR(C44&lt;'Inputs'!$B$14,C44&gt;'Inputs'!$B$15,WEEKDAY(C44,2)&gt;5,C44&lt;&gt;WORKDAY('Inputs'!$B$14,B44-1)),"DATE",IF(AND(J44="Done",K44=""),"EVIDENCE",IF(AND(J44="Blocked",L44=""),"NEXT STEP","OK"))))))</x:f>
        <x:v>OK</x:v>
      </x:c>
    </x:row>
    <x:row r="45" ht="58" customHeight="1">
      <x:c r="A45" s="2" t="str">
        <x:v>Q05</x:v>
      </x:c>
      <x:c r="B45" s="14" t="n">
        <x:v>5</x:v>
      </x:c>
      <x:c r="C45" s="15" t="n">
        <x:f>IF(AND(ISNUMBER(B45),B45&gt;=1,B45&lt;=10,MOD(B45,1)=0),INDEX('Inputs'!$B$21:$B$30,B45),"")</x:f>
        <x:v>46279</x:v>
      </x:c>
      <x:c r="D45" s="12" t="str">
        <x:v>Diego Marsh</x:v>
      </x:c>
      <x:c r="E45" s="12" t="str">
        <x:v>Coverage</x:v>
      </x:c>
      <x:c r="F45" s="16" t="n">
        <x:v>1</x:v>
      </x:c>
      <x:c r="G45" s="18" t="str">
        <x:v>Protected standing support queue coverage</x:v>
      </x:c>
      <x:c r="H45" s="18" t="str">
        <x:v>Standing all-account ticket queue</x:v>
      </x:c>
      <x:c r="I45" s="18" t="str">
        <x:v>Coverage hours retained; queue handoff</x:v>
      </x:c>
      <x:c r="J45" s="19" t="str">
        <x:v>Planned</x:v>
      </x:c>
      <x:c r="K45" s="19"/>
      <x:c r="L45" s="19"/>
      <x:c r="M45" s="12" t="str">
        <x:f>IF(OR(COUNTBLANK(B45:F45)&gt;0,NOT(ISNUMBER(F45)),F45&lt;0),"INPUT",IF(COUNTIFS('Inputs'!$A$6:$A$10,D45)&lt;&gt;1,"OWNER",IF(NOT(OR(E45="Ephrata",E45="Durant",E45="Medford",E45="Portfolio",E45="Coverage")),"ACCOUNT",IF(OR(C45&lt;'Inputs'!$B$14,C45&gt;'Inputs'!$B$15,WEEKDAY(C45,2)&gt;5,C45&lt;&gt;WORKDAY('Inputs'!$B$14,B45-1)),"DATE",IF(AND(J45="Done",K45=""),"EVIDENCE",IF(AND(J45="Blocked",L45=""),"NEXT STEP","OK"))))))</x:f>
        <x:v>OK</x:v>
      </x:c>
    </x:row>
    <x:row r="46" ht="58" customHeight="1">
      <x:c r="A46" s="2" t="str">
        <x:v>H07</x:v>
      </x:c>
      <x:c r="B46" s="14" t="n">
        <x:v>6</x:v>
      </x:c>
      <x:c r="C46" s="15" t="n">
        <x:f>IF(AND(ISNUMBER(B46),B46&gt;=1,B46&lt;=10,MOD(B46,1)=0),INDEX('Inputs'!$B$21:$B$30,B46),"")</x:f>
        <x:v>46280</x:v>
      </x:c>
      <x:c r="D46" s="12" t="str">
        <x:v>Head of Deployment &amp; Customer Ops</x:v>
      </x:c>
      <x:c r="E46" s="12" t="str">
        <x:v>Ephrata</x:v>
      </x:c>
      <x:c r="F46" s="16" t="n">
        <x:v>0.5</x:v>
      </x:c>
      <x:c r="G46" s="18" t="str">
        <x:v>Review emerging exceptions</x:v>
      </x:c>
      <x:c r="H46" s="18" t="str">
        <x:v>Observation records</x:v>
      </x:c>
      <x:c r="I46" s="18" t="str">
        <x:v>Continue / contain / escalate decision</x:v>
      </x:c>
      <x:c r="J46" s="19" t="str">
        <x:v>Planned</x:v>
      </x:c>
      <x:c r="K46" s="19"/>
      <x:c r="L46" s="19"/>
      <x:c r="M46" s="12" t="str">
        <x:f>IF(OR(COUNTBLANK(B46:F46)&gt;0,NOT(ISNUMBER(F46)),F46&lt;0),"INPUT",IF(COUNTIFS('Inputs'!$A$6:$A$10,D46)&lt;&gt;1,"OWNER",IF(NOT(OR(E46="Ephrata",E46="Durant",E46="Medford",E46="Portfolio",E46="Coverage")),"ACCOUNT",IF(OR(C46&lt;'Inputs'!$B$14,C46&gt;'Inputs'!$B$15,WEEKDAY(C46,2)&gt;5,C46&lt;&gt;WORKDAY('Inputs'!$B$14,B46-1)),"DATE",IF(AND(J46="Done",K46=""),"EVIDENCE",IF(AND(J46="Blocked",L46=""),"NEXT STEP","OK"))))))</x:f>
        <x:v>OK</x:v>
      </x:c>
    </x:row>
    <x:row r="47" ht="58" customHeight="1">
      <x:c r="A47" s="2" t="str">
        <x:v>P08</x:v>
      </x:c>
      <x:c r="B47" s="14" t="n">
        <x:v>6</x:v>
      </x:c>
      <x:c r="C47" s="15" t="n">
        <x:f>IF(AND(ISNUMBER(B47),B47&gt;=1,B47&lt;=10,MOD(B47,1)=0),INDEX('Inputs'!$B$21:$B$30,B47),"")</x:f>
        <x:v>46280</x:v>
      </x:c>
      <x:c r="D47" s="12" t="str">
        <x:v>Priya Chandrasekaran</x:v>
      </x:c>
      <x:c r="E47" s="12" t="str">
        <x:v>Ephrata</x:v>
      </x:c>
      <x:c r="F47" s="16" t="n">
        <x:v>1</x:v>
      </x:c>
      <x:c r="G47" s="18" t="str">
        <x:v>Review morning sample 2 and adoption exceptions</x:v>
      </x:c>
      <x:c r="H47" s="18" t="str">
        <x:v>Previous sample / caregiver evidence</x:v>
      </x:c>
      <x:c r="I47" s="18" t="str">
        <x:v>Required corrections and next action</x:v>
      </x:c>
      <x:c r="J47" s="19" t="str">
        <x:v>Planned</x:v>
      </x:c>
      <x:c r="K47" s="19"/>
      <x:c r="L47" s="19"/>
      <x:c r="M47" s="12" t="str">
        <x:f>IF(OR(COUNTBLANK(B47:F47)&gt;0,NOT(ISNUMBER(F47)),F47&lt;0),"INPUT",IF(COUNTIFS('Inputs'!$A$6:$A$10,D47)&lt;&gt;1,"OWNER",IF(NOT(OR(E47="Ephrata",E47="Durant",E47="Medford",E47="Portfolio",E47="Coverage")),"ACCOUNT",IF(OR(C47&lt;'Inputs'!$B$14,C47&gt;'Inputs'!$B$15,WEEKDAY(C47,2)&gt;5,C47&lt;&gt;WORKDAY('Inputs'!$B$14,B47-1)),"DATE",IF(AND(J47="Done",K47=""),"EVIDENCE",IF(AND(J47="Blocked",L47=""),"NEXT STEP","OK"))))))</x:f>
        <x:v>OK</x:v>
      </x:c>
    </x:row>
    <x:row r="48" ht="58" customHeight="1">
      <x:c r="A48" s="2" t="str">
        <x:v>J11</x:v>
      </x:c>
      <x:c r="B48" s="14" t="n">
        <x:v>6</x:v>
      </x:c>
      <x:c r="C48" s="15" t="n">
        <x:f>IF(AND(ISNUMBER(B48),B48&gt;=1,B48&lt;=10,MOD(B48,1)=0),INDEX('Inputs'!$B$21:$B$30,B48),"")</x:f>
        <x:v>46280</x:v>
      </x:c>
      <x:c r="D48" s="12" t="str">
        <x:v>Jordan Kwan</x:v>
      </x:c>
      <x:c r="E48" s="12" t="str">
        <x:v>Ephrata</x:v>
      </x:c>
      <x:c r="F48" s="16" t="n">
        <x:v>1</x:v>
      </x:c>
      <x:c r="G48" s="18" t="str">
        <x:v>Peer-review interpretation of evidence</x:v>
      </x:c>
      <x:c r="H48" s="18" t="str">
        <x:v>Sync traces / observation records</x:v>
      </x:c>
      <x:c r="I48" s="18" t="str">
        <x:v>Hypotheses and results distinguished</x:v>
      </x:c>
      <x:c r="J48" s="19" t="str">
        <x:v>Planned</x:v>
      </x:c>
      <x:c r="K48" s="19"/>
      <x:c r="L48" s="19"/>
      <x:c r="M48" s="12" t="str">
        <x:f>IF(OR(COUNTBLANK(B48:F48)&gt;0,NOT(ISNUMBER(F48)),F48&lt;0),"INPUT",IF(COUNTIFS('Inputs'!$A$6:$A$10,D48)&lt;&gt;1,"OWNER",IF(NOT(OR(E48="Ephrata",E48="Durant",E48="Medford",E48="Portfolio",E48="Coverage")),"ACCOUNT",IF(OR(C48&lt;'Inputs'!$B$14,C48&gt;'Inputs'!$B$15,WEEKDAY(C48,2)&gt;5,C48&lt;&gt;WORKDAY('Inputs'!$B$14,B48-1)),"DATE",IF(AND(J48="Done",K48=""),"EVIDENCE",IF(AND(J48="Blocked",L48=""),"NEXT STEP","OK"))))))</x:f>
        <x:v>OK</x:v>
      </x:c>
    </x:row>
    <x:row r="49" ht="58" customHeight="1">
      <x:c r="A49" s="2" t="str">
        <x:v>D10</x:v>
      </x:c>
      <x:c r="B49" s="14" t="n">
        <x:v>6</x:v>
      </x:c>
      <x:c r="C49" s="15" t="n">
        <x:f>IF(AND(ISNUMBER(B49),B49&gt;=1,B49&lt;=10,MOD(B49,1)=0),INDEX('Inputs'!$B$21:$B$30,B49),"")</x:f>
        <x:v>46280</x:v>
      </x:c>
      <x:c r="D49" s="12" t="str">
        <x:v>Diego Marsh</x:v>
      </x:c>
      <x:c r="E49" s="12" t="str">
        <x:v>Ephrata</x:v>
      </x:c>
      <x:c r="F49" s="16" t="n">
        <x:v>1</x:v>
      </x:c>
      <x:c r="G49" s="18" t="str">
        <x:v>Review morning 2</x:v>
      </x:c>
      <x:c r="H49" s="18" t="str">
        <x:v>Previous sample / logs</x:v>
      </x:c>
      <x:c r="I49" s="18" t="str">
        <x:v>Exceptions routed to owner</x:v>
      </x:c>
      <x:c r="J49" s="19" t="str">
        <x:v>Planned</x:v>
      </x:c>
      <x:c r="K49" s="19"/>
      <x:c r="L49" s="19"/>
      <x:c r="M49" s="12" t="str">
        <x:f>IF(OR(COUNTBLANK(B49:F49)&gt;0,NOT(ISNUMBER(F49)),F49&lt;0),"INPUT",IF(COUNTIFS('Inputs'!$A$6:$A$10,D49)&lt;&gt;1,"OWNER",IF(NOT(OR(E49="Ephrata",E49="Durant",E49="Medford",E49="Portfolio",E49="Coverage")),"ACCOUNT",IF(OR(C49&lt;'Inputs'!$B$14,C49&gt;'Inputs'!$B$15,WEEKDAY(C49,2)&gt;5,C49&lt;&gt;WORKDAY('Inputs'!$B$14,B49-1)),"DATE",IF(AND(J49="Done",K49=""),"EVIDENCE",IF(AND(J49="Blocked",L49=""),"NEXT STEP","OK"))))))</x:f>
        <x:v>OK</x:v>
      </x:c>
    </x:row>
    <x:row r="50" ht="58" customHeight="1">
      <x:c r="A50" s="2" t="str">
        <x:v>Q06</x:v>
      </x:c>
      <x:c r="B50" s="14" t="n">
        <x:v>6</x:v>
      </x:c>
      <x:c r="C50" s="15" t="n">
        <x:f>IF(AND(ISNUMBER(B50),B50&gt;=1,B50&lt;=10,MOD(B50,1)=0),INDEX('Inputs'!$B$21:$B$30,B50),"")</x:f>
        <x:v>46280</x:v>
      </x:c>
      <x:c r="D50" s="12" t="str">
        <x:v>Diego Marsh</x:v>
      </x:c>
      <x:c r="E50" s="12" t="str">
        <x:v>Coverage</x:v>
      </x:c>
      <x:c r="F50" s="16" t="n">
        <x:v>1</x:v>
      </x:c>
      <x:c r="G50" s="18" t="str">
        <x:v>Protected standing support queue coverage</x:v>
      </x:c>
      <x:c r="H50" s="18" t="str">
        <x:v>Standing all-account ticket queue</x:v>
      </x:c>
      <x:c r="I50" s="18" t="str">
        <x:v>Coverage hours retained; queue handoff</x:v>
      </x:c>
      <x:c r="J50" s="19" t="str">
        <x:v>Planned</x:v>
      </x:c>
      <x:c r="K50" s="19"/>
      <x:c r="L50" s="19"/>
      <x:c r="M50" s="12" t="str">
        <x:f>IF(OR(COUNTBLANK(B50:F50)&gt;0,NOT(ISNUMBER(F50)),F50&lt;0),"INPUT",IF(COUNTIFS('Inputs'!$A$6:$A$10,D50)&lt;&gt;1,"OWNER",IF(NOT(OR(E50="Ephrata",E50="Durant",E50="Medford",E50="Portfolio",E50="Coverage")),"ACCOUNT",IF(OR(C50&lt;'Inputs'!$B$14,C50&gt;'Inputs'!$B$15,WEEKDAY(C50,2)&gt;5,C50&lt;&gt;WORKDAY('Inputs'!$B$14,B50-1)),"DATE",IF(AND(J50="Done",K50=""),"EVIDENCE",IF(AND(J50="Blocked",L50=""),"NEXT STEP","OK"))))))</x:f>
        <x:v>OK</x:v>
      </x:c>
    </x:row>
    <x:row r="51" ht="58" customHeight="1">
      <x:c r="A51" s="2" t="str">
        <x:v>H08</x:v>
      </x:c>
      <x:c r="B51" s="14" t="n">
        <x:v>7</x:v>
      </x:c>
      <x:c r="C51" s="15" t="n">
        <x:f>IF(AND(ISNUMBER(B51),B51&gt;=1,B51&lt;=10,MOD(B51,1)=0),INDEX('Inputs'!$B$21:$B$30,B51),"")</x:f>
        <x:v>46281</x:v>
      </x:c>
      <x:c r="D51" s="12" t="str">
        <x:v>Head of Deployment &amp; Customer Ops</x:v>
      </x:c>
      <x:c r="E51" s="12" t="str">
        <x:v>Durant</x:v>
      </x:c>
      <x:c r="F51" s="16" t="n">
        <x:v>0.5</x:v>
      </x:c>
      <x:c r="G51" s="18" t="str">
        <x:v>Protect final-service-day readiness</x:v>
      </x:c>
      <x:c r="H51" s="18" t="str">
        <x:v>Export receipt; drafted invoice</x:v>
      </x:c>
      <x:c r="I51" s="18" t="str">
        <x:v>Exit readiness and owner confirmation</x:v>
      </x:c>
      <x:c r="J51" s="19" t="str">
        <x:v>Planned</x:v>
      </x:c>
      <x:c r="K51" s="19"/>
      <x:c r="L51" s="19"/>
      <x:c r="M51" s="12" t="str">
        <x:f>IF(OR(COUNTBLANK(B51:F51)&gt;0,NOT(ISNUMBER(F51)),F51&lt;0),"INPUT",IF(COUNTIFS('Inputs'!$A$6:$A$10,D51)&lt;&gt;1,"OWNER",IF(NOT(OR(E51="Ephrata",E51="Durant",E51="Medford",E51="Portfolio",E51="Coverage")),"ACCOUNT",IF(OR(C51&lt;'Inputs'!$B$14,C51&gt;'Inputs'!$B$15,WEEKDAY(C51,2)&gt;5,C51&lt;&gt;WORKDAY('Inputs'!$B$14,B51-1)),"DATE",IF(AND(J51="Done",K51=""),"EVIDENCE",IF(AND(J51="Blocked",L51=""),"NEXT STEP","OK"))))))</x:f>
        <x:v>OK</x:v>
      </x:c>
    </x:row>
    <x:row r="52" ht="58" customHeight="1">
      <x:c r="A52" s="2" t="str">
        <x:v>P09</x:v>
      </x:c>
      <x:c r="B52" s="14" t="n">
        <x:v>7</x:v>
      </x:c>
      <x:c r="C52" s="15" t="n">
        <x:f>IF(AND(ISNUMBER(B52),B52&gt;=1,B52&lt;=10,MOD(B52,1)=0),INDEX('Inputs'!$B$21:$B$30,B52),"")</x:f>
        <x:v>46281</x:v>
      </x:c>
      <x:c r="D52" s="12" t="str">
        <x:v>Priya Chandrasekaran</x:v>
      </x:c>
      <x:c r="E52" s="12" t="str">
        <x:v>Ephrata</x:v>
      </x:c>
      <x:c r="F52" s="16" t="n">
        <x:v>1</x:v>
      </x:c>
      <x:c r="G52" s="18" t="str">
        <x:v>Review morning sample 3 and exceptions</x:v>
      </x:c>
      <x:c r="H52" s="18" t="str">
        <x:v>Previous sample / event logs</x:v>
      </x:c>
      <x:c r="I52" s="18" t="str">
        <x:v>Sample results or evidence gap</x:v>
      </x:c>
      <x:c r="J52" s="19" t="str">
        <x:v>Planned</x:v>
      </x:c>
      <x:c r="K52" s="19"/>
      <x:c r="L52" s="19"/>
      <x:c r="M52" s="12" t="str">
        <x:f>IF(OR(COUNTBLANK(B52:F52)&gt;0,NOT(ISNUMBER(F52)),F52&lt;0),"INPUT",IF(COUNTIFS('Inputs'!$A$6:$A$10,D52)&lt;&gt;1,"OWNER",IF(NOT(OR(E52="Ephrata",E52="Durant",E52="Medford",E52="Portfolio",E52="Coverage")),"ACCOUNT",IF(OR(C52&lt;'Inputs'!$B$14,C52&gt;'Inputs'!$B$15,WEEKDAY(C52,2)&gt;5,C52&lt;&gt;WORKDAY('Inputs'!$B$14,B52-1)),"DATE",IF(AND(J52="Done",K52=""),"EVIDENCE",IF(AND(J52="Blocked",L52=""),"NEXT STEP","OK"))))))</x:f>
        <x:v>OK</x:v>
      </x:c>
    </x:row>
    <x:row r="53" ht="58" customHeight="1">
      <x:c r="A53" s="2" t="str">
        <x:v>P10</x:v>
      </x:c>
      <x:c r="B53" s="14" t="n">
        <x:v>7</x:v>
      </x:c>
      <x:c r="C53" s="15" t="n">
        <x:f>IF(AND(ISNUMBER(B53),B53&gt;=1,B53&lt;=10,MOD(B53,1)=0),INDEX('Inputs'!$B$21:$B$30,B53),"")</x:f>
        <x:v>46281</x:v>
      </x:c>
      <x:c r="D53" s="12" t="str">
        <x:v>Priya Chandrasekaran</x:v>
      </x:c>
      <x:c r="E53" s="12" t="str">
        <x:v>Portfolio</x:v>
      </x:c>
      <x:c r="F53" s="16" t="n">
        <x:v>1</x:v>
      </x:c>
      <x:c r="G53" s="18" t="str">
        <x:v>Review reserve and queue separation</x:v>
      </x:c>
      <x:c r="H53" s="18" t="str">
        <x:v>Updated work forecasts</x:v>
      </x:c>
      <x:c r="I53" s="18" t="str">
        <x:v>No unrecorded reallocation</x:v>
      </x:c>
      <x:c r="J53" s="19" t="str">
        <x:v>Planned</x:v>
      </x:c>
      <x:c r="K53" s="19"/>
      <x:c r="L53" s="19"/>
      <x:c r="M53" s="12" t="str">
        <x:f>IF(OR(COUNTBLANK(B53:F53)&gt;0,NOT(ISNUMBER(F53)),F53&lt;0),"INPUT",IF(COUNTIFS('Inputs'!$A$6:$A$10,D53)&lt;&gt;1,"OWNER",IF(NOT(OR(E53="Ephrata",E53="Durant",E53="Medford",E53="Portfolio",E53="Coverage")),"ACCOUNT",IF(OR(C53&lt;'Inputs'!$B$14,C53&gt;'Inputs'!$B$15,WEEKDAY(C53,2)&gt;5,C53&lt;&gt;WORKDAY('Inputs'!$B$14,B53-1)),"DATE",IF(AND(J53="Done",K53=""),"EVIDENCE",IF(AND(J53="Blocked",L53=""),"NEXT STEP","OK"))))))</x:f>
        <x:v>OK</x:v>
      </x:c>
    </x:row>
    <x:row r="54" ht="58" customHeight="1">
      <x:c r="A54" s="2" t="str">
        <x:v>J12</x:v>
      </x:c>
      <x:c r="B54" s="14" t="n">
        <x:v>7</x:v>
      </x:c>
      <x:c r="C54" s="15" t="n">
        <x:f>IF(AND(ISNUMBER(B54),B54&gt;=1,B54&lt;=10,MOD(B54,1)=0),INDEX('Inputs'!$B$21:$B$30,B54),"")</x:f>
        <x:v>46281</x:v>
      </x:c>
      <x:c r="D54" s="12" t="str">
        <x:v>Jordan Kwan</x:v>
      </x:c>
      <x:c r="E54" s="12" t="str">
        <x:v>Ephrata</x:v>
      </x:c>
      <x:c r="F54" s="16" t="n">
        <x:v>1</x:v>
      </x:c>
      <x:c r="G54" s="18" t="str">
        <x:v>Review exceptions and receiving-owner readiness</x:v>
      </x:c>
      <x:c r="H54" s="18" t="str">
        <x:v>Known failure paths</x:v>
      </x:c>
      <x:c r="I54" s="18" t="str">
        <x:v>Runbook feedback and open dependencies</x:v>
      </x:c>
      <x:c r="J54" s="19" t="str">
        <x:v>Planned</x:v>
      </x:c>
      <x:c r="K54" s="19"/>
      <x:c r="L54" s="19"/>
      <x:c r="M54" s="12" t="str">
        <x:f>IF(OR(COUNTBLANK(B54:F54)&gt;0,NOT(ISNUMBER(F54)),F54&lt;0),"INPUT",IF(COUNTIFS('Inputs'!$A$6:$A$10,D54)&lt;&gt;1,"OWNER",IF(NOT(OR(E54="Ephrata",E54="Durant",E54="Medford",E54="Portfolio",E54="Coverage")),"ACCOUNT",IF(OR(C54&lt;'Inputs'!$B$14,C54&gt;'Inputs'!$B$15,WEEKDAY(C54,2)&gt;5,C54&lt;&gt;WORKDAY('Inputs'!$B$14,B54-1)),"DATE",IF(AND(J54="Done",K54=""),"EVIDENCE",IF(AND(J54="Blocked",L54=""),"NEXT STEP","OK"))))))</x:f>
        <x:v>OK</x:v>
      </x:c>
    </x:row>
    <x:row r="55" ht="58" customHeight="1">
      <x:c r="A55" s="2" t="str">
        <x:v>D11</x:v>
      </x:c>
      <x:c r="B55" s="14" t="n">
        <x:v>7</x:v>
      </x:c>
      <x:c r="C55" s="15" t="n">
        <x:f>IF(AND(ISNUMBER(B55),B55&gt;=1,B55&lt;=10,MOD(B55,1)=0),INDEX('Inputs'!$B$21:$B$30,B55),"")</x:f>
        <x:v>46281</x:v>
      </x:c>
      <x:c r="D55" s="12" t="str">
        <x:v>Diego Marsh</x:v>
      </x:c>
      <x:c r="E55" s="12" t="str">
        <x:v>Ephrata</x:v>
      </x:c>
      <x:c r="F55" s="16" t="n">
        <x:v>1</x:v>
      </x:c>
      <x:c r="G55" s="18" t="str">
        <x:v>Review morning 3</x:v>
      </x:c>
      <x:c r="H55" s="18" t="str">
        <x:v>Previous sample / logs</x:v>
      </x:c>
      <x:c r="I55" s="18" t="str">
        <x:v>Exceptions routed to owner</x:v>
      </x:c>
      <x:c r="J55" s="19" t="str">
        <x:v>Planned</x:v>
      </x:c>
      <x:c r="K55" s="19"/>
      <x:c r="L55" s="19"/>
      <x:c r="M55" s="12" t="str">
        <x:f>IF(OR(COUNTBLANK(B55:F55)&gt;0,NOT(ISNUMBER(F55)),F55&lt;0),"INPUT",IF(COUNTIFS('Inputs'!$A$6:$A$10,D55)&lt;&gt;1,"OWNER",IF(NOT(OR(E55="Ephrata",E55="Durant",E55="Medford",E55="Portfolio",E55="Coverage")),"ACCOUNT",IF(OR(C55&lt;'Inputs'!$B$14,C55&gt;'Inputs'!$B$15,WEEKDAY(C55,2)&gt;5,C55&lt;&gt;WORKDAY('Inputs'!$B$14,B55-1)),"DATE",IF(AND(J55="Done",K55=""),"EVIDENCE",IF(AND(J55="Blocked",L55=""),"NEXT STEP","OK"))))))</x:f>
        <x:v>OK</x:v>
      </x:c>
    </x:row>
    <x:row r="56" ht="58" customHeight="1">
      <x:c r="A56" s="2" t="str">
        <x:v>Q07</x:v>
      </x:c>
      <x:c r="B56" s="14" t="n">
        <x:v>7</x:v>
      </x:c>
      <x:c r="C56" s="15" t="n">
        <x:f>IF(AND(ISNUMBER(B56),B56&gt;=1,B56&lt;=10,MOD(B56,1)=0),INDEX('Inputs'!$B$21:$B$30,B56),"")</x:f>
        <x:v>46281</x:v>
      </x:c>
      <x:c r="D56" s="12" t="str">
        <x:v>Diego Marsh</x:v>
      </x:c>
      <x:c r="E56" s="12" t="str">
        <x:v>Coverage</x:v>
      </x:c>
      <x:c r="F56" s="16" t="n">
        <x:v>1</x:v>
      </x:c>
      <x:c r="G56" s="18" t="str">
        <x:v>Protected standing support queue coverage</x:v>
      </x:c>
      <x:c r="H56" s="18" t="str">
        <x:v>Standing all-account ticket queue</x:v>
      </x:c>
      <x:c r="I56" s="18" t="str">
        <x:v>Coverage hours retained; queue handoff</x:v>
      </x:c>
      <x:c r="J56" s="19" t="str">
        <x:v>Planned</x:v>
      </x:c>
      <x:c r="K56" s="19"/>
      <x:c r="L56" s="19"/>
      <x:c r="M56" s="12" t="str">
        <x:f>IF(OR(COUNTBLANK(B56:F56)&gt;0,NOT(ISNUMBER(F56)),F56&lt;0),"INPUT",IF(COUNTIFS('Inputs'!$A$6:$A$10,D56)&lt;&gt;1,"OWNER",IF(NOT(OR(E56="Ephrata",E56="Durant",E56="Medford",E56="Portfolio",E56="Coverage")),"ACCOUNT",IF(OR(C56&lt;'Inputs'!$B$14,C56&gt;'Inputs'!$B$15,WEEKDAY(C56,2)&gt;5,C56&lt;&gt;WORKDAY('Inputs'!$B$14,B56-1)),"DATE",IF(AND(J56="Done",K56=""),"EVIDENCE",IF(AND(J56="Blocked",L56=""),"NEXT STEP","OK"))))))</x:f>
        <x:v>OK</x:v>
      </x:c>
    </x:row>
    <x:row r="57" ht="58" customHeight="1">
      <x:c r="A57" s="2" t="str">
        <x:v>H09</x:v>
      </x:c>
      <x:c r="B57" s="14" t="n">
        <x:v>8</x:v>
      </x:c>
      <x:c r="C57" s="15" t="n">
        <x:f>IF(AND(ISNUMBER(B57),B57&gt;=1,B57&lt;=10,MOD(B57,1)=0),INDEX('Inputs'!$B$21:$B$30,B57),"")</x:f>
        <x:v>46282</x:v>
      </x:c>
      <x:c r="D57" s="12" t="str">
        <x:v>Head of Deployment &amp; Customer Ops</x:v>
      </x:c>
      <x:c r="E57" s="12" t="str">
        <x:v>Ephrata</x:v>
      </x:c>
      <x:c r="F57" s="16" t="n">
        <x:v>0.5</x:v>
      </x:c>
      <x:c r="G57" s="18" t="str">
        <x:v>Review acceptance exposure and gaps</x:v>
      </x:c>
      <x:c r="H57" s="18" t="str">
        <x:v>Four mornings / eligible call sample</x:v>
      </x:c>
      <x:c r="I57" s="18" t="str">
        <x:v>Explicit remaining uncertainty</x:v>
      </x:c>
      <x:c r="J57" s="19" t="str">
        <x:v>Planned</x:v>
      </x:c>
      <x:c r="K57" s="19"/>
      <x:c r="L57" s="19"/>
      <x:c r="M57" s="12" t="str">
        <x:f>IF(OR(COUNTBLANK(B57:F57)&gt;0,NOT(ISNUMBER(F57)),F57&lt;0),"INPUT",IF(COUNTIFS('Inputs'!$A$6:$A$10,D57)&lt;&gt;1,"OWNER",IF(NOT(OR(E57="Ephrata",E57="Durant",E57="Medford",E57="Portfolio",E57="Coverage")),"ACCOUNT",IF(OR(C57&lt;'Inputs'!$B$14,C57&gt;'Inputs'!$B$15,WEEKDAY(C57,2)&gt;5,C57&lt;&gt;WORKDAY('Inputs'!$B$14,B57-1)),"DATE",IF(AND(J57="Done",K57=""),"EVIDENCE",IF(AND(J57="Blocked",L57=""),"NEXT STEP","OK"))))))</x:f>
        <x:v>OK</x:v>
      </x:c>
    </x:row>
    <x:row r="58" ht="58" customHeight="1">
      <x:c r="A58" s="2" t="str">
        <x:v>P11</x:v>
      </x:c>
      <x:c r="B58" s="14" t="n">
        <x:v>8</x:v>
      </x:c>
      <x:c r="C58" s="15" t="n">
        <x:f>IF(AND(ISNUMBER(B58),B58&gt;=1,B58&lt;=10,MOD(B58,1)=0),INDEX('Inputs'!$B$21:$B$30,B58),"")</x:f>
        <x:v>46282</x:v>
      </x:c>
      <x:c r="D58" s="12" t="str">
        <x:v>Priya Chandrasekaran</x:v>
      </x:c>
      <x:c r="E58" s="12" t="str">
        <x:v>Ephrata</x:v>
      </x:c>
      <x:c r="F58" s="16" t="n">
        <x:v>1</x:v>
      </x:c>
      <x:c r="G58" s="18" t="str">
        <x:v>Review sample 4 and rotation exposure</x:v>
      </x:c>
      <x:c r="H58" s="18" t="str">
        <x:v>Approved effective roster</x:v>
      </x:c>
      <x:c r="I58" s="18" t="str">
        <x:v>Boundary evidence and residual risk</x:v>
      </x:c>
      <x:c r="J58" s="19" t="str">
        <x:v>Planned</x:v>
      </x:c>
      <x:c r="K58" s="19"/>
      <x:c r="L58" s="19"/>
      <x:c r="M58" s="12" t="str">
        <x:f>IF(OR(COUNTBLANK(B58:F58)&gt;0,NOT(ISNUMBER(F58)),F58&lt;0),"INPUT",IF(COUNTIFS('Inputs'!$A$6:$A$10,D58)&lt;&gt;1,"OWNER",IF(NOT(OR(E58="Ephrata",E58="Durant",E58="Medford",E58="Portfolio",E58="Coverage")),"ACCOUNT",IF(OR(C58&lt;'Inputs'!$B$14,C58&gt;'Inputs'!$B$15,WEEKDAY(C58,2)&gt;5,C58&lt;&gt;WORKDAY('Inputs'!$B$14,B58-1)),"DATE",IF(AND(J58="Done",K58=""),"EVIDENCE",IF(AND(J58="Blocked",L58=""),"NEXT STEP","OK"))))))</x:f>
        <x:v>OK</x:v>
      </x:c>
    </x:row>
    <x:row r="59" ht="58" customHeight="1">
      <x:c r="A59" s="2" t="str">
        <x:v>J13</x:v>
      </x:c>
      <x:c r="B59" s="14" t="n">
        <x:v>8</x:v>
      </x:c>
      <x:c r="C59" s="15" t="n">
        <x:f>IF(AND(ISNUMBER(B59),B59&gt;=1,B59&lt;=10,MOD(B59,1)=0),INDEX('Inputs'!$B$21:$B$30,B59),"")</x:f>
        <x:v>46282</x:v>
      </x:c>
      <x:c r="D59" s="12" t="str">
        <x:v>Jordan Kwan</x:v>
      </x:c>
      <x:c r="E59" s="12" t="str">
        <x:v>Portfolio</x:v>
      </x:c>
      <x:c r="F59" s="16" t="n">
        <x:v>1</x:v>
      </x:c>
      <x:c r="G59" s="18" t="str">
        <x:v>Review exit / recovery / restart sequencing</x:v>
      </x:c>
      <x:c r="H59" s="18" t="str">
        <x:v>Forecasts and upcoming dates</x:v>
      </x:c>
      <x:c r="I59" s="18" t="str">
        <x:v>Updated reserve decision</x:v>
      </x:c>
      <x:c r="J59" s="19" t="str">
        <x:v>Planned</x:v>
      </x:c>
      <x:c r="K59" s="19"/>
      <x:c r="L59" s="19"/>
      <x:c r="M59" s="12" t="str">
        <x:f>IF(OR(COUNTBLANK(B59:F59)&gt;0,NOT(ISNUMBER(F59)),F59&lt;0),"INPUT",IF(COUNTIFS('Inputs'!$A$6:$A$10,D59)&lt;&gt;1,"OWNER",IF(NOT(OR(E59="Ephrata",E59="Durant",E59="Medford",E59="Portfolio",E59="Coverage")),"ACCOUNT",IF(OR(C59&lt;'Inputs'!$B$14,C59&gt;'Inputs'!$B$15,WEEKDAY(C59,2)&gt;5,C59&lt;&gt;WORKDAY('Inputs'!$B$14,B59-1)),"DATE",IF(AND(J59="Done",K59=""),"EVIDENCE",IF(AND(J59="Blocked",L59=""),"NEXT STEP","OK"))))))</x:f>
        <x:v>OK</x:v>
      </x:c>
    </x:row>
    <x:row r="60" ht="58" customHeight="1">
      <x:c r="A60" s="2" t="str">
        <x:v>D12</x:v>
      </x:c>
      <x:c r="B60" s="14" t="n">
        <x:v>8</x:v>
      </x:c>
      <x:c r="C60" s="15" t="n">
        <x:f>IF(AND(ISNUMBER(B60),B60&gt;=1,B60&lt;=10,MOD(B60,1)=0),INDEX('Inputs'!$B$21:$B$30,B60),"")</x:f>
        <x:v>46282</x:v>
      </x:c>
      <x:c r="D60" s="12" t="str">
        <x:v>Diego Marsh</x:v>
      </x:c>
      <x:c r="E60" s="12" t="str">
        <x:v>Ephrata</x:v>
      </x:c>
      <x:c r="F60" s="16" t="n">
        <x:v>1</x:v>
      </x:c>
      <x:c r="G60" s="18" t="str">
        <x:v>Review morning 4</x:v>
      </x:c>
      <x:c r="H60" s="18" t="str">
        <x:v>Previous sample / logs</x:v>
      </x:c>
      <x:c r="I60" s="18" t="str">
        <x:v>Exceptions routed to owner</x:v>
      </x:c>
      <x:c r="J60" s="19" t="str">
        <x:v>Planned</x:v>
      </x:c>
      <x:c r="K60" s="19"/>
      <x:c r="L60" s="19"/>
      <x:c r="M60" s="12" t="str">
        <x:f>IF(OR(COUNTBLANK(B60:F60)&gt;0,NOT(ISNUMBER(F60)),F60&lt;0),"INPUT",IF(COUNTIFS('Inputs'!$A$6:$A$10,D60)&lt;&gt;1,"OWNER",IF(NOT(OR(E60="Ephrata",E60="Durant",E60="Medford",E60="Portfolio",E60="Coverage")),"ACCOUNT",IF(OR(C60&lt;'Inputs'!$B$14,C60&gt;'Inputs'!$B$15,WEEKDAY(C60,2)&gt;5,C60&lt;&gt;WORKDAY('Inputs'!$B$14,B60-1)),"DATE",IF(AND(J60="Done",K60=""),"EVIDENCE",IF(AND(J60="Blocked",L60=""),"NEXT STEP","OK"))))))</x:f>
        <x:v>OK</x:v>
      </x:c>
    </x:row>
    <x:row r="61" ht="58" customHeight="1">
      <x:c r="A61" s="2" t="str">
        <x:v>Q08</x:v>
      </x:c>
      <x:c r="B61" s="14" t="n">
        <x:v>8</x:v>
      </x:c>
      <x:c r="C61" s="15" t="n">
        <x:f>IF(AND(ISNUMBER(B61),B61&gt;=1,B61&lt;=10,MOD(B61,1)=0),INDEX('Inputs'!$B$21:$B$30,B61),"")</x:f>
        <x:v>46282</x:v>
      </x:c>
      <x:c r="D61" s="12" t="str">
        <x:v>Diego Marsh</x:v>
      </x:c>
      <x:c r="E61" s="12" t="str">
        <x:v>Coverage</x:v>
      </x:c>
      <x:c r="F61" s="16" t="n">
        <x:v>2</x:v>
      </x:c>
      <x:c r="G61" s="18" t="str">
        <x:v>Protected standing support queue coverage</x:v>
      </x:c>
      <x:c r="H61" s="18" t="str">
        <x:v>Standing all-account ticket queue</x:v>
      </x:c>
      <x:c r="I61" s="18" t="str">
        <x:v>Coverage hours retained; queue handoff</x:v>
      </x:c>
      <x:c r="J61" s="19" t="str">
        <x:v>Planned</x:v>
      </x:c>
      <x:c r="K61" s="19"/>
      <x:c r="L61" s="19"/>
      <x:c r="M61" s="12" t="str">
        <x:f>IF(OR(COUNTBLANK(B61:F61)&gt;0,NOT(ISNUMBER(F61)),F61&lt;0),"INPUT",IF(COUNTIFS('Inputs'!$A$6:$A$10,D61)&lt;&gt;1,"OWNER",IF(NOT(OR(E61="Ephrata",E61="Durant",E61="Medford",E61="Portfolio",E61="Coverage")),"ACCOUNT",IF(OR(C61&lt;'Inputs'!$B$14,C61&gt;'Inputs'!$B$15,WEEKDAY(C61,2)&gt;5,C61&lt;&gt;WORKDAY('Inputs'!$B$14,B61-1)),"DATE",IF(AND(J61="Done",K61=""),"EVIDENCE",IF(AND(J61="Blocked",L61=""),"NEXT STEP","OK"))))))</x:f>
        <x:v>OK</x:v>
      </x:c>
    </x:row>
    <x:row r="62" ht="58" customHeight="1">
      <x:c r="A62" s="2" t="str">
        <x:v>H10</x:v>
      </x:c>
      <x:c r="B62" s="14" t="n">
        <x:v>9</x:v>
      </x:c>
      <x:c r="C62" s="15" t="n">
        <x:f>IF(AND(ISNUMBER(B62),B62&gt;=1,B62&lt;=10,MOD(B62,1)=0),INDEX('Inputs'!$B$21:$B$30,B62),"")</x:f>
        <x:v>46283</x:v>
      </x:c>
      <x:c r="D62" s="12" t="str">
        <x:v>Head of Deployment &amp; Customer Ops</x:v>
      </x:c>
      <x:c r="E62" s="12" t="str">
        <x:v>Durant</x:v>
      </x:c>
      <x:c r="F62" s="16" t="n">
        <x:v>0.5</x:v>
      </x:c>
      <x:c r="G62" s="18" t="str">
        <x:v>Review final service date execution</x:v>
      </x:c>
      <x:c r="H62" s="18" t="str">
        <x:v>Approved exit plan</x:v>
      </x:c>
      <x:c r="I62" s="18" t="str">
        <x:v>Actual completion or exception logged</x:v>
      </x:c>
      <x:c r="J62" s="19" t="str">
        <x:v>Planned</x:v>
      </x:c>
      <x:c r="K62" s="19"/>
      <x:c r="L62" s="19"/>
      <x:c r="M62" s="12" t="str">
        <x:f>IF(OR(COUNTBLANK(B62:F62)&gt;0,NOT(ISNUMBER(F62)),F62&lt;0),"INPUT",IF(COUNTIFS('Inputs'!$A$6:$A$10,D62)&lt;&gt;1,"OWNER",IF(NOT(OR(E62="Ephrata",E62="Durant",E62="Medford",E62="Portfolio",E62="Coverage")),"ACCOUNT",IF(OR(C62&lt;'Inputs'!$B$14,C62&gt;'Inputs'!$B$15,WEEKDAY(C62,2)&gt;5,C62&lt;&gt;WORKDAY('Inputs'!$B$14,B62-1)),"DATE",IF(AND(J62="Done",K62=""),"EVIDENCE",IF(AND(J62="Blocked",L62=""),"NEXT STEP","OK"))))))</x:f>
        <x:v>OK</x:v>
      </x:c>
    </x:row>
    <x:row r="63" ht="58" customHeight="1">
      <x:c r="A63" s="2" t="str">
        <x:v>P12</x:v>
      </x:c>
      <x:c r="B63" s="14" t="n">
        <x:v>9</x:v>
      </x:c>
      <x:c r="C63" s="15" t="n">
        <x:f>IF(AND(ISNUMBER(B63),B63&gt;=1,B63&lt;=10,MOD(B63,1)=0),INDEX('Inputs'!$B$21:$B$30,B63),"")</x:f>
        <x:v>46283</x:v>
      </x:c>
      <x:c r="D63" s="12" t="str">
        <x:v>Priya Chandrasekaran</x:v>
      </x:c>
      <x:c r="E63" s="12" t="str">
        <x:v>Ephrata</x:v>
      </x:c>
      <x:c r="F63" s="16" t="n">
        <x:v>1</x:v>
      </x:c>
      <x:c r="G63" s="18" t="str">
        <x:v>Review sample 5 and prepare acceptance packet</x:v>
      </x:c>
      <x:c r="H63" s="18" t="str">
        <x:v>Complete sample / eligible calls</x:v>
      </x:c>
      <x:c r="I63" s="18" t="str">
        <x:v>Technical and user evidence separated</x:v>
      </x:c>
      <x:c r="J63" s="19" t="str">
        <x:v>Planned</x:v>
      </x:c>
      <x:c r="K63" s="19"/>
      <x:c r="L63" s="19"/>
      <x:c r="M63" s="12" t="str">
        <x:f>IF(OR(COUNTBLANK(B63:F63)&gt;0,NOT(ISNUMBER(F63)),F63&lt;0),"INPUT",IF(COUNTIFS('Inputs'!$A$6:$A$10,D63)&lt;&gt;1,"OWNER",IF(NOT(OR(E63="Ephrata",E63="Durant",E63="Medford",E63="Portfolio",E63="Coverage")),"ACCOUNT",IF(OR(C63&lt;'Inputs'!$B$14,C63&gt;'Inputs'!$B$15,WEEKDAY(C63,2)&gt;5,C63&lt;&gt;WORKDAY('Inputs'!$B$14,B63-1)),"DATE",IF(AND(J63="Done",K63=""),"EVIDENCE",IF(AND(J63="Blocked",L63=""),"NEXT STEP","OK"))))))</x:f>
        <x:v>OK</x:v>
      </x:c>
    </x:row>
    <x:row r="64" ht="58" customHeight="1">
      <x:c r="A64" s="2" t="str">
        <x:v>J14</x:v>
      </x:c>
      <x:c r="B64" s="14" t="n">
        <x:v>9</x:v>
      </x:c>
      <x:c r="C64" s="15" t="n">
        <x:f>IF(AND(ISNUMBER(B64),B64&gt;=1,B64&lt;=10,MOD(B64,1)=0),INDEX('Inputs'!$B$21:$B$30,B64),"")</x:f>
        <x:v>46283</x:v>
      </x:c>
      <x:c r="D64" s="12" t="str">
        <x:v>Jordan Kwan</x:v>
      </x:c>
      <x:c r="E64" s="12" t="str">
        <x:v>Durant</x:v>
      </x:c>
      <x:c r="F64" s="16" t="n">
        <x:v>0.5</x:v>
      </x:c>
      <x:c r="G64" s="18" t="str">
        <x:v>Confirm final invoice and service closure</x:v>
      </x:c>
      <x:c r="H64" s="18" t="str">
        <x:v>Invoice reconciliation; Diego deactivation</x:v>
      </x:c>
      <x:c r="I64" s="18" t="str">
        <x:v>Customer record / exception log updated</x:v>
      </x:c>
      <x:c r="J64" s="19" t="str">
        <x:v>Planned</x:v>
      </x:c>
      <x:c r="K64" s="19"/>
      <x:c r="L64" s="19"/>
      <x:c r="M64" s="12" t="str">
        <x:f>IF(OR(COUNTBLANK(B64:F64)&gt;0,NOT(ISNUMBER(F64)),F64&lt;0),"INPUT",IF(COUNTIFS('Inputs'!$A$6:$A$10,D64)&lt;&gt;1,"OWNER",IF(NOT(OR(E64="Ephrata",E64="Durant",E64="Medford",E64="Portfolio",E64="Coverage")),"ACCOUNT",IF(OR(C64&lt;'Inputs'!$B$14,C64&gt;'Inputs'!$B$15,WEEKDAY(C64,2)&gt;5,C64&lt;&gt;WORKDAY('Inputs'!$B$14,B64-1)),"DATE",IF(AND(J64="Done",K64=""),"EVIDENCE",IF(AND(J64="Blocked",L64=""),"NEXT STEP","OK"))))))</x:f>
        <x:v>OK</x:v>
      </x:c>
    </x:row>
    <x:row r="65" ht="58" customHeight="1">
      <x:c r="A65" s="2" t="str">
        <x:v>D13</x:v>
      </x:c>
      <x:c r="B65" s="14" t="n">
        <x:v>9</x:v>
      </x:c>
      <x:c r="C65" s="15" t="n">
        <x:f>IF(AND(ISNUMBER(B65),B65&gt;=1,B65&lt;=10,MOD(B65,1)=0),INDEX('Inputs'!$B$21:$B$30,B65),"")</x:f>
        <x:v>46283</x:v>
      </x:c>
      <x:c r="D65" s="12" t="str">
        <x:v>Diego Marsh</x:v>
      </x:c>
      <x:c r="E65" s="12" t="str">
        <x:v>Ephrata</x:v>
      </x:c>
      <x:c r="F65" s="16" t="n">
        <x:v>1</x:v>
      </x:c>
      <x:c r="G65" s="18" t="str">
        <x:v>Review morning 5</x:v>
      </x:c>
      <x:c r="H65" s="18" t="str">
        <x:v>Previous sample / logs</x:v>
      </x:c>
      <x:c r="I65" s="18" t="str">
        <x:v>Complete sample or reset reason</x:v>
      </x:c>
      <x:c r="J65" s="19" t="str">
        <x:v>Planned</x:v>
      </x:c>
      <x:c r="K65" s="19"/>
      <x:c r="L65" s="19"/>
      <x:c r="M65" s="12" t="str">
        <x:f>IF(OR(COUNTBLANK(B65:F65)&gt;0,NOT(ISNUMBER(F65)),F65&lt;0),"INPUT",IF(COUNTIFS('Inputs'!$A$6:$A$10,D65)&lt;&gt;1,"OWNER",IF(NOT(OR(E65="Ephrata",E65="Durant",E65="Medford",E65="Portfolio",E65="Coverage")),"ACCOUNT",IF(OR(C65&lt;'Inputs'!$B$14,C65&gt;'Inputs'!$B$15,WEEKDAY(C65,2)&gt;5,C65&lt;&gt;WORKDAY('Inputs'!$B$14,B65-1)),"DATE",IF(AND(J65="Done",K65=""),"EVIDENCE",IF(AND(J65="Blocked",L65=""),"NEXT STEP","OK"))))))</x:f>
        <x:v>OK</x:v>
      </x:c>
    </x:row>
    <x:row r="66" ht="58" customHeight="1">
      <x:c r="A66" s="2" t="str">
        <x:v>D14</x:v>
      </x:c>
      <x:c r="B66" s="14" t="n">
        <x:v>9</x:v>
      </x:c>
      <x:c r="C66" s="15" t="n">
        <x:f>IF(AND(ISNUMBER(B66),B66&gt;=1,B66&lt;=10,MOD(B66,1)=0),INDEX('Inputs'!$B$21:$B$30,B66),"")</x:f>
        <x:v>46283</x:v>
      </x:c>
      <x:c r="D66" s="12" t="str">
        <x:v>Diego Marsh</x:v>
      </x:c>
      <x:c r="E66" s="12" t="str">
        <x:v>Durant</x:v>
      </x:c>
      <x:c r="F66" s="16" t="n">
        <x:v>0.5</x:v>
      </x:c>
      <x:c r="G66" s="18" t="str">
        <x:v>Deactivate WellSky/Riley/Casey on agreed final day</x:v>
      </x:c>
      <x:c r="H66" s="18" t="str">
        <x:v>Export handoff; approved documented checklist</x:v>
      </x:c>
      <x:c r="I66" s="18" t="str">
        <x:v>Disconnected / disabled evidence</x:v>
      </x:c>
      <x:c r="J66" s="19" t="str">
        <x:v>Planned</x:v>
      </x:c>
      <x:c r="K66" s="19"/>
      <x:c r="L66" s="19"/>
      <x:c r="M66" s="12" t="str">
        <x:f>IF(OR(COUNTBLANK(B66:F66)&gt;0,NOT(ISNUMBER(F66)),F66&lt;0),"INPUT",IF(COUNTIFS('Inputs'!$A$6:$A$10,D66)&lt;&gt;1,"OWNER",IF(NOT(OR(E66="Ephrata",E66="Durant",E66="Medford",E66="Portfolio",E66="Coverage")),"ACCOUNT",IF(OR(C66&lt;'Inputs'!$B$14,C66&gt;'Inputs'!$B$15,WEEKDAY(C66,2)&gt;5,C66&lt;&gt;WORKDAY('Inputs'!$B$14,B66-1)),"DATE",IF(AND(J66="Done",K66=""),"EVIDENCE",IF(AND(J66="Blocked",L66=""),"NEXT STEP","OK"))))))</x:f>
        <x:v>OK</x:v>
      </x:c>
    </x:row>
    <x:row r="67" ht="58" customHeight="1">
      <x:c r="A67" s="2" t="str">
        <x:v>Q09</x:v>
      </x:c>
      <x:c r="B67" s="14" t="n">
        <x:v>9</x:v>
      </x:c>
      <x:c r="C67" s="15" t="n">
        <x:f>IF(AND(ISNUMBER(B67),B67&gt;=1,B67&lt;=10,MOD(B67,1)=0),INDEX('Inputs'!$B$21:$B$30,B67),"")</x:f>
        <x:v>46283</x:v>
      </x:c>
      <x:c r="D67" s="12" t="str">
        <x:v>Diego Marsh</x:v>
      </x:c>
      <x:c r="E67" s="12" t="str">
        <x:v>Coverage</x:v>
      </x:c>
      <x:c r="F67" s="16" t="n">
        <x:v>1</x:v>
      </x:c>
      <x:c r="G67" s="18" t="str">
        <x:v>Protected standing support queue coverage</x:v>
      </x:c>
      <x:c r="H67" s="18" t="str">
        <x:v>Standing all-account ticket queue</x:v>
      </x:c>
      <x:c r="I67" s="18" t="str">
        <x:v>Coverage hours retained; queue handoff</x:v>
      </x:c>
      <x:c r="J67" s="19" t="str">
        <x:v>Planned</x:v>
      </x:c>
      <x:c r="K67" s="19"/>
      <x:c r="L67" s="19"/>
      <x:c r="M67" s="12" t="str">
        <x:f>IF(OR(COUNTBLANK(B67:F67)&gt;0,NOT(ISNUMBER(F67)),F67&lt;0),"INPUT",IF(COUNTIFS('Inputs'!$A$6:$A$10,D67)&lt;&gt;1,"OWNER",IF(NOT(OR(E67="Ephrata",E67="Durant",E67="Medford",E67="Portfolio",E67="Coverage")),"ACCOUNT",IF(OR(C67&lt;'Inputs'!$B$14,C67&gt;'Inputs'!$B$15,WEEKDAY(C67,2)&gt;5,C67&lt;&gt;WORKDAY('Inputs'!$B$14,B67-1)),"DATE",IF(AND(J67="Done",K67=""),"EVIDENCE",IF(AND(J67="Blocked",L67=""),"NEXT STEP","OK"))))))</x:f>
        <x:v>OK</x:v>
      </x:c>
    </x:row>
    <x:row r="68" ht="58" customHeight="1">
      <x:c r="A68" s="2" t="str">
        <x:v>H11</x:v>
      </x:c>
      <x:c r="B68" s="14" t="n">
        <x:v>10</x:v>
      </x:c>
      <x:c r="C68" s="15" t="n">
        <x:f>IF(AND(ISNUMBER(B68),B68&gt;=1,B68&lt;=10,MOD(B68,1)=0),INDEX('Inputs'!$B$21:$B$30,B68),"")</x:f>
        <x:v>46286</x:v>
      </x:c>
      <x:c r="D68" s="12" t="str">
        <x:v>Head of Deployment &amp; Customer Ops</x:v>
      </x:c>
      <x:c r="E68" s="12" t="str">
        <x:v>Ephrata</x:v>
      </x:c>
      <x:c r="F68" s="16" t="n">
        <x:v>0.5</x:v>
      </x:c>
      <x:c r="G68" s="18" t="str">
        <x:v>Review recovery acceptance and residual work</x:v>
      </x:c>
      <x:c r="H68" s="18" t="str">
        <x:v>Outcome evidence and receiving demo</x:v>
      </x:c>
      <x:c r="I68" s="18" t="str">
        <x:v>Final status and sized follow-up</x:v>
      </x:c>
      <x:c r="J68" s="19" t="str">
        <x:v>Planned</x:v>
      </x:c>
      <x:c r="K68" s="19"/>
      <x:c r="L68" s="19"/>
      <x:c r="M68" s="12" t="str">
        <x:f>IF(OR(COUNTBLANK(B68:F68)&gt;0,NOT(ISNUMBER(F68)),F68&lt;0),"INPUT",IF(COUNTIFS('Inputs'!$A$6:$A$10,D68)&lt;&gt;1,"OWNER",IF(NOT(OR(E68="Ephrata",E68="Durant",E68="Medford",E68="Portfolio",E68="Coverage")),"ACCOUNT",IF(OR(C68&lt;'Inputs'!$B$14,C68&gt;'Inputs'!$B$15,WEEKDAY(C68,2)&gt;5,C68&lt;&gt;WORKDAY('Inputs'!$B$14,B68-1)),"DATE",IF(AND(J68="Done",K68=""),"EVIDENCE",IF(AND(J68="Blocked",L68=""),"NEXT STEP","OK"))))))</x:f>
        <x:v>OK</x:v>
      </x:c>
    </x:row>
    <x:row r="69" ht="58" customHeight="1">
      <x:c r="A69" s="2" t="str">
        <x:v>H12</x:v>
      </x:c>
      <x:c r="B69" s="14" t="n">
        <x:v>10</x:v>
      </x:c>
      <x:c r="C69" s="15" t="n">
        <x:f>IF(AND(ISNUMBER(B69),B69&gt;=1,B69&lt;=10,MOD(B69,1)=0),INDEX('Inputs'!$B$21:$B$30,B69),"")</x:f>
        <x:v>46286</x:v>
      </x:c>
      <x:c r="D69" s="12" t="str">
        <x:v>Head of Deployment &amp; Customer Ops</x:v>
      </x:c>
      <x:c r="E69" s="12" t="str">
        <x:v>Medford</x:v>
      </x:c>
      <x:c r="F69" s="16" t="n">
        <x:v>0.5</x:v>
      </x:c>
      <x:c r="G69" s="18" t="str">
        <x:v>Review board proposal boundaries</x:v>
      </x:c>
      <x:c r="H69" s="18" t="str">
        <x:v>Final scoped proposal</x:v>
      </x:c>
      <x:c r="I69" s="18" t="str">
        <x:v>Approval needs and next step clear</x:v>
      </x:c>
      <x:c r="J69" s="19" t="str">
        <x:v>Planned</x:v>
      </x:c>
      <x:c r="K69" s="19"/>
      <x:c r="L69" s="19"/>
      <x:c r="M69" s="12" t="str">
        <x:f>IF(OR(COUNTBLANK(B69:F69)&gt;0,NOT(ISNUMBER(F69)),F69&lt;0),"INPUT",IF(COUNTIFS('Inputs'!$A$6:$A$10,D69)&lt;&gt;1,"OWNER",IF(NOT(OR(E69="Ephrata",E69="Durant",E69="Medford",E69="Portfolio",E69="Coverage")),"ACCOUNT",IF(OR(C69&lt;'Inputs'!$B$14,C69&gt;'Inputs'!$B$15,WEEKDAY(C69,2)&gt;5,C69&lt;&gt;WORKDAY('Inputs'!$B$14,B69-1)),"DATE",IF(AND(J69="Done",K69=""),"EVIDENCE",IF(AND(J69="Blocked",L69=""),"NEXT STEP","OK"))))))</x:f>
        <x:v>OK</x:v>
      </x:c>
    </x:row>
    <x:row r="70" ht="58" customHeight="1">
      <x:c r="A70" s="2" t="str">
        <x:v>P13</x:v>
      </x:c>
      <x:c r="B70" s="14" t="n">
        <x:v>10</x:v>
      </x:c>
      <x:c r="C70" s="15" t="n">
        <x:f>IF(AND(ISNUMBER(B70),B70&gt;=1,B70&lt;=10,MOD(B70,1)=0),INDEX('Inputs'!$B$21:$B$30,B70),"")</x:f>
        <x:v>46286</x:v>
      </x:c>
      <x:c r="D70" s="12" t="str">
        <x:v>Priya Chandrasekaran</x:v>
      </x:c>
      <x:c r="E70" s="12" t="str">
        <x:v>Ephrata</x:v>
      </x:c>
      <x:c r="F70" s="16" t="n">
        <x:v>2</x:v>
      </x:c>
      <x:c r="G70" s="18" t="str">
        <x:v>Customer outcome review and final handoff</x:v>
      </x:c>
      <x:c r="H70" s="18" t="str">
        <x:v>Acceptance packet / customer time</x:v>
      </x:c>
      <x:c r="I70" s="18" t="str">
        <x:v>Acceptance or open gate with next step</x:v>
      </x:c>
      <x:c r="J70" s="19" t="str">
        <x:v>Planned</x:v>
      </x:c>
      <x:c r="K70" s="19"/>
      <x:c r="L70" s="19"/>
      <x:c r="M70" s="12" t="str">
        <x:f>IF(OR(COUNTBLANK(B70:F70)&gt;0,NOT(ISNUMBER(F70)),F70&lt;0),"INPUT",IF(COUNTIFS('Inputs'!$A$6:$A$10,D70)&lt;&gt;1,"OWNER",IF(NOT(OR(E70="Ephrata",E70="Durant",E70="Medford",E70="Portfolio",E70="Coverage")),"ACCOUNT",IF(OR(C70&lt;'Inputs'!$B$14,C70&gt;'Inputs'!$B$15,WEEKDAY(C70,2)&gt;5,C70&lt;&gt;WORKDAY('Inputs'!$B$14,B70-1)),"DATE",IF(AND(J70="Done",K70=""),"EVIDENCE",IF(AND(J70="Blocked",L70=""),"NEXT STEP","OK"))))))</x:f>
        <x:v>OK</x:v>
      </x:c>
    </x:row>
    <x:row r="71" ht="58" customHeight="1">
      <x:c r="A71" s="2" t="str">
        <x:v>J15</x:v>
      </x:c>
      <x:c r="B71" s="14" t="n">
        <x:v>10</x:v>
      </x:c>
      <x:c r="C71" s="15" t="n">
        <x:f>IF(AND(ISNUMBER(B71),B71&gt;=1,B71&lt;=10,MOD(B71,1)=0),INDEX('Inputs'!$B$21:$B$30,B71),"")</x:f>
        <x:v>46286</x:v>
      </x:c>
      <x:c r="D71" s="12" t="str">
        <x:v>Jordan Kwan</x:v>
      </x:c>
      <x:c r="E71" s="12" t="str">
        <x:v>Ephrata</x:v>
      </x:c>
      <x:c r="F71" s="16" t="n">
        <x:v>1</x:v>
      </x:c>
      <x:c r="G71" s="18" t="str">
        <x:v>Observe receiving-owner demonstration</x:v>
      </x:c>
      <x:c r="H71" s="18" t="str">
        <x:v>Runbook and nominated owner</x:v>
      </x:c>
      <x:c r="I71" s="18" t="str">
        <x:v>Independent execution or explicit gap</x:v>
      </x:c>
      <x:c r="J71" s="19" t="str">
        <x:v>Planned</x:v>
      </x:c>
      <x:c r="K71" s="19"/>
      <x:c r="L71" s="19"/>
      <x:c r="M71" s="12" t="str">
        <x:f>IF(OR(COUNTBLANK(B71:F71)&gt;0,NOT(ISNUMBER(F71)),F71&lt;0),"INPUT",IF(COUNTIFS('Inputs'!$A$6:$A$10,D71)&lt;&gt;1,"OWNER",IF(NOT(OR(E71="Ephrata",E71="Durant",E71="Medford",E71="Portfolio",E71="Coverage")),"ACCOUNT",IF(OR(C71&lt;'Inputs'!$B$14,C71&gt;'Inputs'!$B$15,WEEKDAY(C71,2)&gt;5,C71&lt;&gt;WORKDAY('Inputs'!$B$14,B71-1)),"DATE",IF(AND(J71="Done",K71=""),"EVIDENCE",IF(AND(J71="Blocked",L71=""),"NEXT STEP","OK"))))))</x:f>
        <x:v>OK</x:v>
      </x:c>
    </x:row>
    <x:row r="72" ht="58" customHeight="1">
      <x:c r="A72" s="2" t="str">
        <x:v>J16</x:v>
      </x:c>
      <x:c r="B72" s="14" t="n">
        <x:v>10</x:v>
      </x:c>
      <x:c r="C72" s="15" t="n">
        <x:f>IF(AND(ISNUMBER(B72),B72&gt;=1,B72&lt;=10,MOD(B72,1)=0),INDEX('Inputs'!$B$21:$B$30,B72),"")</x:f>
        <x:v>46286</x:v>
      </x:c>
      <x:c r="D72" s="12" t="str">
        <x:v>Jordan Kwan</x:v>
      </x:c>
      <x:c r="E72" s="12" t="str">
        <x:v>Medford</x:v>
      </x:c>
      <x:c r="F72" s="16" t="n">
        <x:v>1</x:v>
      </x:c>
      <x:c r="G72" s="18" t="str">
        <x:v>Finalize and hand off board-ready proposal</x:v>
      </x:c>
      <x:c r="H72" s="18" t="str">
        <x:v>J10 proposal; Head review</x:v>
      </x:c>
      <x:c r="I72" s="18" t="str">
        <x:v>Proposal delivered or customer scheduling gap</x:v>
      </x:c>
      <x:c r="J72" s="19" t="str">
        <x:v>Planned</x:v>
      </x:c>
      <x:c r="K72" s="19"/>
      <x:c r="L72" s="19"/>
      <x:c r="M72" s="12" t="str">
        <x:f>IF(OR(COUNTBLANK(B72:F72)&gt;0,NOT(ISNUMBER(F72)),F72&lt;0),"INPUT",IF(COUNTIFS('Inputs'!$A$6:$A$10,D72)&lt;&gt;1,"OWNER",IF(NOT(OR(E72="Ephrata",E72="Durant",E72="Medford",E72="Portfolio",E72="Coverage")),"ACCOUNT",IF(OR(C72&lt;'Inputs'!$B$14,C72&gt;'Inputs'!$B$15,WEEKDAY(C72,2)&gt;5,C72&lt;&gt;WORKDAY('Inputs'!$B$14,B72-1)),"DATE",IF(AND(J72="Done",K72=""),"EVIDENCE",IF(AND(J72="Blocked",L72=""),"NEXT STEP","OK"))))))</x:f>
        <x:v>OK</x:v>
      </x:c>
    </x:row>
    <x:row r="73" ht="58" customHeight="1">
      <x:c r="A73" s="2" t="str">
        <x:v>D15</x:v>
      </x:c>
      <x:c r="B73" s="14" t="n">
        <x:v>10</x:v>
      </x:c>
      <x:c r="C73" s="15" t="n">
        <x:f>IF(AND(ISNUMBER(B73),B73&gt;=1,B73&lt;=10,MOD(B73,1)=0),INDEX('Inputs'!$B$21:$B$30,B73),"")</x:f>
        <x:v>46286</x:v>
      </x:c>
      <x:c r="D73" s="12" t="str">
        <x:v>Diego Marsh</x:v>
      </x:c>
      <x:c r="E73" s="12" t="str">
        <x:v>Ephrata</x:v>
      </x:c>
      <x:c r="F73" s="16" t="n">
        <x:v>1</x:v>
      </x:c>
      <x:c r="G73" s="18" t="str">
        <x:v>Demonstrate exception intake and evidence retrieval</x:v>
      </x:c>
      <x:c r="H73" s="18" t="str">
        <x:v>Receiving-owner runbook</x:v>
      </x:c>
      <x:c r="I73" s="18" t="str">
        <x:v>Independent handling or remaining dependency</x:v>
      </x:c>
      <x:c r="J73" s="19" t="str">
        <x:v>Planned</x:v>
      </x:c>
      <x:c r="K73" s="19"/>
      <x:c r="L73" s="19"/>
      <x:c r="M73" s="12" t="str">
        <x:f>IF(OR(COUNTBLANK(B73:F73)&gt;0,NOT(ISNUMBER(F73)),F73&lt;0),"INPUT",IF(COUNTIFS('Inputs'!$A$6:$A$10,D73)&lt;&gt;1,"OWNER",IF(NOT(OR(E73="Ephrata",E73="Durant",E73="Medford",E73="Portfolio",E73="Coverage")),"ACCOUNT",IF(OR(C73&lt;'Inputs'!$B$14,C73&gt;'Inputs'!$B$15,WEEKDAY(C73,2)&gt;5,C73&lt;&gt;WORKDAY('Inputs'!$B$14,B73-1)),"DATE",IF(AND(J73="Done",K73=""),"EVIDENCE",IF(AND(J73="Blocked",L73=""),"NEXT STEP","OK"))))))</x:f>
        <x:v>OK</x:v>
      </x:c>
    </x:row>
    <x:row r="74" ht="58" customHeight="1">
      <x:c r="A74" s="2" t="str">
        <x:v>Q10</x:v>
      </x:c>
      <x:c r="B74" s="14" t="n">
        <x:v>10</x:v>
      </x:c>
      <x:c r="C74" s="15" t="n">
        <x:f>IF(AND(ISNUMBER(B74),B74&gt;=1,B74&lt;=10,MOD(B74,1)=0),INDEX('Inputs'!$B$21:$B$30,B74),"")</x:f>
        <x:v>46286</x:v>
      </x:c>
      <x:c r="D74" s="12" t="str">
        <x:v>Diego Marsh</x:v>
      </x:c>
      <x:c r="E74" s="12" t="str">
        <x:v>Coverage</x:v>
      </x:c>
      <x:c r="F74" s="16" t="n">
        <x:v>1</x:v>
      </x:c>
      <x:c r="G74" s="18" t="str">
        <x:v>Protected standing support queue coverage</x:v>
      </x:c>
      <x:c r="H74" s="18" t="str">
        <x:v>Standing all-account ticket queue</x:v>
      </x:c>
      <x:c r="I74" s="18" t="str">
        <x:v>Coverage hours retained; queue handoff</x:v>
      </x:c>
      <x:c r="J74" s="19" t="str">
        <x:v>Planned</x:v>
      </x:c>
      <x:c r="K74" s="19"/>
      <x:c r="L74" s="19"/>
      <x:c r="M74" s="12" t="str">
        <x:f>IF(OR(COUNTBLANK(B74:F74)&gt;0,NOT(ISNUMBER(F74)),F74&lt;0),"INPUT",IF(COUNTIFS('Inputs'!$A$6:$A$10,D74)&lt;&gt;1,"OWNER",IF(NOT(OR(E74="Ephrata",E74="Durant",E74="Medford",E74="Portfolio",E74="Coverage")),"ACCOUNT",IF(OR(C74&lt;'Inputs'!$B$14,C74&gt;'Inputs'!$B$15,WEEKDAY(C74,2)&gt;5,C74&lt;&gt;WORKDAY('Inputs'!$B$14,B74-1)),"DATE",IF(AND(J74="Done",K74=""),"EVIDENCE",IF(AND(J74="Blocked",L74=""),"NEXT STEP","OK"))))))</x:f>
        <x:v>OK</x:v>
      </x:c>
    </x:row>
  </x:sheetData>
  <x:conditionalFormatting sqref="M6:M74">
    <x:cfRule type="notContainsText" dxfId="0" priority="1" text="OK"/>
  </x:conditionalFormatting>
  <x:dataValidations count="4">
    <x:dataValidation type="list" sqref="D6:D74">
      <x:formula1>"Head of Deployment &amp; Customer Ops,Priya Chandrasekaran,Jordan Kwan,Diego Marsh,Nate Osei"</x:formula1>
    </x:dataValidation>
    <x:dataValidation type="list" sqref="E6:E74">
      <x:formula1>"Ephrata,Durant,Medford,Portfolio,Coverage"</x:formula1>
    </x:dataValidation>
    <x:dataValidation type="list" sqref="J6:J74">
      <x:formula1>"Planned,In progress,Blocked,Done"</x:formula1>
    </x:dataValidation>
    <x:dataValidation type="whole" operator="between" sqref="B6:B74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0758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4" hidden="0" customWidth="1"/>
    <x:col min="4" max="4" width="15" hidden="0" customWidth="1"/>
    <x:col min="5" max="5" width="15" hidden="0" customWidth="1"/>
    <x:col min="6" max="6" width="17" hidden="0" customWidth="1"/>
    <x:col min="7" max="7" width="16" hidden="0" customWidth="1"/>
    <x:col min="8" max="8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</x:row>
    <x:row r="2" ht="25" customHeight="1">
      <x:c r="A2" s="3" t="str">
        <x:v>Inputs and assumptions</x:v>
      </x:c>
      <x:c r="B2" s="2"/>
      <x:c r="C2" s="2"/>
      <x:c r="D2" s="2"/>
      <x:c r="E2" s="2"/>
      <x:c r="F2" s="2"/>
      <x:c r="G2" s="2"/>
      <x:c r="H2" s="2"/>
    </x:row>
    <x:row r="3" ht="25" customHeight="1">
      <x:c r="A3" s="2" t="str">
        <x:v>Amber cells are editable assumptions. Source limits and approval boundaries remain controlling.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7" t="str">
        <x:v>Person</x:v>
      </x:c>
      <x:c r="B5" s="7" t="str">
        <x:v>Window hours</x:v>
      </x:c>
      <x:c r="C5" s="7" t="str">
        <x:v>Coverage min</x:v>
      </x:c>
      <x:c r="D5" s="7" t="str">
        <x:v>Ephrata cap</x:v>
      </x:c>
      <x:c r="E5" s="2"/>
      <x:c r="F5" s="2"/>
      <x:c r="G5" s="2"/>
      <x:c r="H5" s="2"/>
    </x:row>
    <x:row r="6" ht="25" customHeight="1">
      <x:c r="A6" s="2" t="str">
        <x:v>Head of Deployment &amp; Customer Ops</x:v>
      </x:c>
      <x:c r="B6" s="9" t="n">
        <x:v>7.5</x:v>
      </x:c>
      <x:c r="C6" s="8" t="n">
        <x:v>0</x:v>
      </x:c>
      <x:c r="D6" s="8"/>
      <x:c r="E6" s="2"/>
      <x:c r="F6" s="2" t="str">
        <x:v>Sourced 7.5h ceiling</x:v>
      </x:c>
      <x:c r="G6" s="2"/>
      <x:c r="H6" s="2"/>
    </x:row>
    <x:row r="7" ht="25" customHeight="1">
      <x:c r="A7" s="2" t="str">
        <x:v>Priya Chandrasekaran</x:v>
      </x:c>
      <x:c r="B7" s="9" t="n">
        <x:v>36</x:v>
      </x:c>
      <x:c r="C7" s="8" t="n">
        <x:v>0</x:v>
      </x:c>
      <x:c r="D7" s="8"/>
      <x:c r="E7" s="2"/>
      <x:c r="F7" s="2" t="str">
        <x:v>36h proposed split</x:v>
      </x:c>
      <x:c r="G7" s="2"/>
      <x:c r="H7" s="2"/>
    </x:row>
    <x:row r="8" ht="25" customHeight="1">
      <x:c r="A8" s="2" t="str">
        <x:v>Jordan Kwan</x:v>
      </x:c>
      <x:c r="B8" s="9" t="n">
        <x:v>25</x:v>
      </x:c>
      <x:c r="C8" s="8" t="n">
        <x:v>0</x:v>
      </x:c>
      <x:c r="D8" s="8"/>
      <x:c r="E8" s="2"/>
      <x:c r="F8" s="2" t="str">
        <x:v>25h proposed split</x:v>
      </x:c>
      <x:c r="G8" s="2"/>
      <x:c r="H8" s="2"/>
    </x:row>
    <x:row r="9" ht="25" customHeight="1">
      <x:c r="A9" s="2" t="str">
        <x:v>Diego Marsh</x:v>
      </x:c>
      <x:c r="B9" s="9" t="n">
        <x:v>34</x:v>
      </x:c>
      <x:c r="C9" s="8" t="n">
        <x:v>14</x:v>
      </x:c>
      <x:c r="D9" s="8"/>
      <x:c r="E9" s="2"/>
      <x:c r="F9" s="2" t="str">
        <x:v>34h total; 14h protected</x:v>
      </x:c>
      <x:c r="G9" s="2"/>
      <x:c r="H9" s="2"/>
    </x:row>
    <x:row r="10" ht="25" customHeight="1">
      <x:c r="A10" s="2" t="str">
        <x:v>Nate Osei</x:v>
      </x:c>
      <x:c r="B10" s="9" t="n">
        <x:v>24</x:v>
      </x:c>
      <x:c r="C10" s="8" t="n">
        <x:v>0</x:v>
      </x:c>
      <x:c r="D10" s="8" t="n">
        <x:v>9</x:v>
      </x:c>
      <x:c r="E10" s="2"/>
      <x:c r="F10" s="2" t="str">
        <x:v>24h wider book; 9h Ephrata</x:v>
      </x:c>
      <x:c r="G10" s="2"/>
      <x:c r="H10" s="2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" t="str">
        <x:v>Strategists combined ceiling</x:v>
      </x:c>
      <x:c r="B12" s="2" t="n">
        <x:v>61</x:v>
      </x:c>
      <x:c r="C12" s="2"/>
      <x:c r="D12" s="2"/>
      <x:c r="E12" s="2"/>
      <x:c r="F12" s="2"/>
      <x:c r="G12" s="2"/>
      <x:c r="H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</x:row>
    <x:row r="14" ht="25" customHeight="1">
      <x:c r="A14" s="2" t="str">
        <x:v>Planning start</x:v>
      </x:c>
      <x:c r="B14" s="10" t="d">
        <x:v>2026-09-08T00:00:00.000Z</x:v>
      </x:c>
      <x:c r="C14" s="2"/>
      <x:c r="D14" s="2"/>
      <x:c r="E14" s="2"/>
      <x:c r="F14" s="2"/>
      <x:c r="G14" s="2"/>
      <x:c r="H14" s="2"/>
    </x:row>
    <x:row r="15" ht="25" customHeight="1">
      <x:c r="A15" s="2" t="str">
        <x:v>Planning end</x:v>
      </x:c>
      <x:c r="B15" s="10" t="d">
        <x:v>2026-09-21T00:00:00.000Z</x:v>
      </x:c>
      <x:c r="C15" s="2"/>
      <x:c r="D15" s="2"/>
      <x:c r="E15" s="2"/>
      <x:c r="F15" s="2"/>
      <x:c r="G15" s="2"/>
      <x:c r="H15" s="2"/>
    </x:row>
    <x:row r="16" ht="25" customHeight="1">
      <x:c r="A16" s="2" t="str">
        <x:v>Durant export target</x:v>
      </x:c>
      <x:c r="B16" s="10" t="d">
        <x:v>2026-09-11T00:00:00.000Z</x:v>
      </x:c>
      <x:c r="C16" s="2"/>
      <x:c r="D16" s="2"/>
      <x:c r="E16" s="2"/>
      <x:c r="F16" s="2"/>
      <x:c r="G16" s="2"/>
      <x:c r="H16" s="2"/>
    </x:row>
    <x:row r="17" ht="25" customHeight="1">
      <x:c r="A17" s="2" t="str">
        <x:v>Durant final service day</x:v>
      </x:c>
      <x:c r="B17" s="10" t="d">
        <x:v>2026-09-18T00:00:00.000Z</x:v>
      </x:c>
      <x:c r="C17" s="2"/>
      <x:c r="D17" s="2"/>
      <x:c r="E17" s="2"/>
      <x:c r="F17" s="2"/>
      <x:c r="G17" s="2"/>
      <x:c r="H17" s="2"/>
    </x:row>
    <x:row r="18" ht="25" customHeight="1">
      <x:c r="A18" s="2" t="str">
        <x:v>Medford board review</x:v>
      </x:c>
      <x:c r="B18" s="10" t="d">
        <x:v>2026-09-22T00:00:00.000Z</x:v>
      </x:c>
      <x:c r="C18" s="2"/>
      <x:c r="D18" s="2"/>
      <x:c r="E18" s="2"/>
      <x:c r="F18" s="2"/>
      <x:c r="G18" s="2"/>
      <x:c r="H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32" customHeight="1">
      <x:c r="A20" s="7" t="str">
        <x:v>Day</x:v>
      </x:c>
      <x:c r="B20" s="7" t="str">
        <x:v>Date</x:v>
      </x:c>
      <x:c r="C20" s="7" t="str">
        <x:v>Head h</x:v>
      </x:c>
      <x:c r="D20" s="7" t="str">
        <x:v>Priya h</x:v>
      </x:c>
      <x:c r="E20" s="7" t="str">
        <x:v>Jordan h</x:v>
      </x:c>
      <x:c r="F20" s="7" t="str">
        <x:v>CSM project h</x:v>
      </x:c>
      <x:c r="G20" s="7" t="str">
        <x:v>Queue h</x:v>
      </x:c>
      <x:c r="H20" s="7" t="str">
        <x:v>Nate Ephrata h</x:v>
      </x:c>
    </x:row>
    <x:row r="21" ht="25" customHeight="1">
      <x:c r="A21" s="2" t="n">
        <x:v>1</x:v>
      </x:c>
      <x:c r="B21" s="11" t="d">
        <x:v>2026-09-08T00:00:00.000Z</x:v>
      </x:c>
      <x:c r="C21" s="9" t="n">
        <x:v>1</x:v>
      </x:c>
      <x:c r="D21" s="9" t="n">
        <x:v>4</x:v>
      </x:c>
      <x:c r="E21" s="9" t="n">
        <x:v>3</x:v>
      </x:c>
      <x:c r="F21" s="9" t="n">
        <x:v>2</x:v>
      </x:c>
      <x:c r="G21" s="9" t="n">
        <x:v>2</x:v>
      </x:c>
      <x:c r="H21" s="9" t="n">
        <x:v>0</x:v>
      </x:c>
    </x:row>
    <x:row r="22" ht="25" customHeight="1">
      <x:c r="A22" s="2" t="n">
        <x:v>2</x:v>
      </x:c>
      <x:c r="B22" s="11" t="d">
        <x:v>2026-09-09T00:00:00.000Z</x:v>
      </x:c>
      <x:c r="C22" s="9" t="n">
        <x:v>0.75</x:v>
      </x:c>
      <x:c r="D22" s="9" t="n">
        <x:v>4</x:v>
      </x:c>
      <x:c r="E22" s="9" t="n">
        <x:v>3</x:v>
      </x:c>
      <x:c r="F22" s="9" t="n">
        <x:v>2</x:v>
      </x:c>
      <x:c r="G22" s="9" t="n">
        <x:v>2</x:v>
      </x:c>
      <x:c r="H22" s="9" t="n">
        <x:v>3</x:v>
      </x:c>
    </x:row>
    <x:row r="23" ht="25" customHeight="1">
      <x:c r="A23" s="2" t="n">
        <x:v>3</x:v>
      </x:c>
      <x:c r="B23" s="11" t="d">
        <x:v>2026-09-10T00:00:00.000Z</x:v>
      </x:c>
      <x:c r="C23" s="9" t="n">
        <x:v>0.75</x:v>
      </x:c>
      <x:c r="D23" s="9" t="n">
        <x:v>4</x:v>
      </x:c>
      <x:c r="E23" s="9" t="n">
        <x:v>3</x:v>
      </x:c>
      <x:c r="F23" s="9" t="n">
        <x:v>2</x:v>
      </x:c>
      <x:c r="G23" s="9" t="n">
        <x:v>2</x:v>
      </x:c>
      <x:c r="H23" s="9" t="n">
        <x:v>3</x:v>
      </x:c>
    </x:row>
    <x:row r="24" ht="25" customHeight="1">
      <x:c r="A24" s="2" t="n">
        <x:v>4</x:v>
      </x:c>
      <x:c r="B24" s="11" t="d">
        <x:v>2026-09-11T00:00:00.000Z</x:v>
      </x:c>
      <x:c r="C24" s="9" t="n">
        <x:v>0.5</x:v>
      </x:c>
      <x:c r="D24" s="9" t="n">
        <x:v>4</x:v>
      </x:c>
      <x:c r="E24" s="9" t="n">
        <x:v>2</x:v>
      </x:c>
      <x:c r="F24" s="9" t="n">
        <x:v>2</x:v>
      </x:c>
      <x:c r="G24" s="9" t="n">
        <x:v>1</x:v>
      </x:c>
      <x:c r="H24" s="9" t="n">
        <x:v>3</x:v>
      </x:c>
    </x:row>
    <x:row r="25" ht="25" customHeight="1">
      <x:c r="A25" s="2" t="n">
        <x:v>5</x:v>
      </x:c>
      <x:c r="B25" s="11" t="d">
        <x:v>2026-09-14T00:00:00.000Z</x:v>
      </x:c>
      <x:c r="C25" s="9" t="n">
        <x:v>0.5</x:v>
      </x:c>
      <x:c r="D25" s="9" t="n">
        <x:v>4</x:v>
      </x:c>
      <x:c r="E25" s="9" t="n">
        <x:v>2</x:v>
      </x:c>
      <x:c r="F25" s="9" t="n">
        <x:v>2</x:v>
      </x:c>
      <x:c r="G25" s="9" t="n">
        <x:v>1</x:v>
      </x:c>
      <x:c r="H25" s="9" t="n">
        <x:v>0</x:v>
      </x:c>
    </x:row>
    <x:row r="26" ht="25" customHeight="1">
      <x:c r="A26" s="2" t="n">
        <x:v>6</x:v>
      </x:c>
      <x:c r="B26" s="11" t="d">
        <x:v>2026-09-15T00:00:00.000Z</x:v>
      </x:c>
      <x:c r="C26" s="9" t="n">
        <x:v>0.75</x:v>
      </x:c>
      <x:c r="D26" s="9" t="n">
        <x:v>4</x:v>
      </x:c>
      <x:c r="E26" s="9" t="n">
        <x:v>2</x:v>
      </x:c>
      <x:c r="F26" s="9" t="n">
        <x:v>2</x:v>
      </x:c>
      <x:c r="G26" s="9" t="n">
        <x:v>1</x:v>
      </x:c>
      <x:c r="H26" s="9" t="n">
        <x:v>0</x:v>
      </x:c>
    </x:row>
    <x:row r="27" ht="25" customHeight="1">
      <x:c r="A27" s="2" t="n">
        <x:v>7</x:v>
      </x:c>
      <x:c r="B27" s="11" t="d">
        <x:v>2026-09-16T00:00:00.000Z</x:v>
      </x:c>
      <x:c r="C27" s="9" t="n">
        <x:v>0.5</x:v>
      </x:c>
      <x:c r="D27" s="9" t="n">
        <x:v>3</x:v>
      </x:c>
      <x:c r="E27" s="9" t="n">
        <x:v>2</x:v>
      </x:c>
      <x:c r="F27" s="9" t="n">
        <x:v>2</x:v>
      </x:c>
      <x:c r="G27" s="9" t="n">
        <x:v>1</x:v>
      </x:c>
      <x:c r="H27" s="9" t="n">
        <x:v>0</x:v>
      </x:c>
    </x:row>
    <x:row r="28" ht="25" customHeight="1">
      <x:c r="A28" s="2" t="n">
        <x:v>8</x:v>
      </x:c>
      <x:c r="B28" s="11" t="d">
        <x:v>2026-09-17T00:00:00.000Z</x:v>
      </x:c>
      <x:c r="C28" s="9" t="n">
        <x:v>0.75</x:v>
      </x:c>
      <x:c r="D28" s="9" t="n">
        <x:v>3</x:v>
      </x:c>
      <x:c r="E28" s="9" t="n">
        <x:v>3</x:v>
      </x:c>
      <x:c r="F28" s="9" t="n">
        <x:v>2</x:v>
      </x:c>
      <x:c r="G28" s="9" t="n">
        <x:v>2</x:v>
      </x:c>
      <x:c r="H28" s="9" t="n">
        <x:v>0</x:v>
      </x:c>
    </x:row>
    <x:row r="29" ht="25" customHeight="1">
      <x:c r="A29" s="2" t="n">
        <x:v>9</x:v>
      </x:c>
      <x:c r="B29" s="11" t="d">
        <x:v>2026-09-18T00:00:00.000Z</x:v>
      </x:c>
      <x:c r="C29" s="9" t="n">
        <x:v>1</x:v>
      </x:c>
      <x:c r="D29" s="9" t="n">
        <x:v>3</x:v>
      </x:c>
      <x:c r="E29" s="9" t="n">
        <x:v>2</x:v>
      </x:c>
      <x:c r="F29" s="9" t="n">
        <x:v>2</x:v>
      </x:c>
      <x:c r="G29" s="9" t="n">
        <x:v>1</x:v>
      </x:c>
      <x:c r="H29" s="9" t="n">
        <x:v>0</x:v>
      </x:c>
    </x:row>
    <x:row r="30" ht="25" customHeight="1">
      <x:c r="A30" s="2" t="n">
        <x:v>10</x:v>
      </x:c>
      <x:c r="B30" s="11" t="d">
        <x:v>2026-09-21T00:00:00.000Z</x:v>
      </x:c>
      <x:c r="C30" s="9" t="n">
        <x:v>1</x:v>
      </x:c>
      <x:c r="D30" s="9" t="n">
        <x:v>3</x:v>
      </x:c>
      <x:c r="E30" s="9" t="n">
        <x:v>3</x:v>
      </x:c>
      <x:c r="F30" s="9" t="n">
        <x:v>2</x:v>
      </x:c>
      <x:c r="G30" s="9" t="n">
        <x:v>1</x:v>
      </x:c>
      <x:c r="H30" s="9" t="n">
        <x:v>0</x:v>
      </x:c>
    </x:row>
    <x:row r="31" ht="25" customHeight="1">
      <x:c r="A31" s="2" t="str">
        <x:v>Daily profiles and the individual strategist split require Day 1 calendar confirmation.</x:v>
      </x:c>
      <x:c r="B31" s="2"/>
      <x:c r="C31" s="2"/>
      <x:c r="D31" s="2"/>
      <x:c r="E31" s="2"/>
      <x:c r="F31" s="2"/>
      <x:c r="G31" s="2"/>
      <x:c r="H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</x:row>
    <x:row r="33" ht="32" customHeight="1">
      <x:c r="A33" s="7" t="str">
        <x:v>Action</x:v>
      </x:c>
      <x:c r="B33" s="7" t="str">
        <x:v>Low h</x:v>
      </x:c>
      <x:c r="C33" s="7" t="str">
        <x:v>High h</x:v>
      </x:c>
      <x:c r="D33" s="7" t="str">
        <x:v>Role</x:v>
      </x:c>
      <x:c r="E33" s="7" t="str">
        <x:v>Source</x:v>
      </x:c>
      <x:c r="F33" s="7" t="str">
        <x:v>Base budget</x:v>
      </x:c>
      <x:c r="G33" s="2"/>
      <x:c r="H33" s="2"/>
    </x:row>
    <x:row r="34" ht="36" customHeight="1">
      <x:c r="A34" s="2" t="str">
        <x:v>Root-cause triage</x:v>
      </x:c>
      <x:c r="B34" s="8" t="n">
        <x:v>2</x:v>
      </x:c>
      <x:c r="C34" s="8" t="n">
        <x:v>3</x:v>
      </x:c>
      <x:c r="D34" s="12" t="str">
        <x:v>Strategist</x:v>
      </x:c>
      <x:c r="E34" s="12" t="str">
        <x:v>Capacity §3</x:v>
      </x:c>
      <x:c r="F34" s="8" t="n">
        <x:v>2</x:v>
      </x:c>
      <x:c r="G34" s="2"/>
      <x:c r="H34" s="2"/>
    </x:row>
    <x:row r="35" ht="36" customHeight="1">
      <x:c r="A35" s="2" t="str">
        <x:v>WellSky permission/config audit</x:v>
      </x:c>
      <x:c r="B35" s="8" t="n">
        <x:v>6</x:v>
      </x:c>
      <x:c r="C35" s="8" t="n">
        <x:v>10</x:v>
      </x:c>
      <x:c r="D35" s="12" t="str">
        <x:v>Engineer</x:v>
      </x:c>
      <x:c r="E35" s="12" t="str">
        <x:v>Capacity §3</x:v>
      </x:c>
      <x:c r="F35" s="8" t="n">
        <x:v>6</x:v>
      </x:c>
      <x:c r="G35" s="2"/>
      <x:c r="H35" s="2"/>
    </x:row>
    <x:row r="36" ht="36" customHeight="1">
      <x:c r="A36" s="2" t="str">
        <x:v>Routing / on-call config review</x:v>
      </x:c>
      <x:c r="B36" s="8" t="n">
        <x:v>3</x:v>
      </x:c>
      <x:c r="C36" s="8" t="n">
        <x:v>6</x:v>
      </x:c>
      <x:c r="D36" s="12" t="str">
        <x:v>Engineer</x:v>
      </x:c>
      <x:c r="E36" s="12" t="str">
        <x:v>Capacity §3</x:v>
      </x:c>
      <x:c r="F36" s="8" t="n">
        <x:v>3</x:v>
      </x:c>
      <x:c r="G36" s="2"/>
      <x:c r="H36" s="2"/>
    </x:row>
    <x:row r="37" ht="36" customHeight="1">
      <x:c r="A37" s="2" t="str">
        <x:v>Verification call + follow-up</x:v>
      </x:c>
      <x:c r="B37" s="8" t="n">
        <x:v>1.5</x:v>
      </x:c>
      <x:c r="C37" s="8" t="n">
        <x:v>3</x:v>
      </x:c>
      <x:c r="D37" s="12" t="str">
        <x:v>Strategist</x:v>
      </x:c>
      <x:c r="E37" s="12" t="str">
        <x:v>Capacity §3</x:v>
      </x:c>
      <x:c r="F37" s="8" t="n">
        <x:v>3</x:v>
      </x:c>
      <x:c r="G37" s="2"/>
      <x:c r="H37" s="2"/>
    </x:row>
    <x:row r="38" ht="36" customHeight="1">
      <x:c r="A38" s="2" t="str">
        <x:v>Adoption pull + outreach</x:v>
      </x:c>
      <x:c r="B38" s="8" t="n">
        <x:v>2</x:v>
      </x:c>
      <x:c r="C38" s="8" t="n">
        <x:v>4</x:v>
      </x:c>
      <x:c r="D38" s="12" t="str">
        <x:v>Strategist/CSM</x:v>
      </x:c>
      <x:c r="E38" s="12" t="str">
        <x:v>Capacity §3</x:v>
      </x:c>
      <x:c r="F38" s="8" t="n">
        <x:v>2</x:v>
      </x:c>
      <x:c r="G38" s="2"/>
      <x:c r="H38" s="2"/>
    </x:row>
    <x:row r="39" ht="36" customHeight="1">
      <x:c r="A39" s="2" t="str">
        <x:v>Durant offboarding</x:v>
      </x:c>
      <x:c r="B39" s="8" t="n">
        <x:v>5</x:v>
      </x:c>
      <x:c r="C39" s="8" t="n">
        <x:v>9</x:v>
      </x:c>
      <x:c r="D39" s="12" t="str">
        <x:v>Strategist/CSM</x:v>
      </x:c>
      <x:c r="E39" s="12" t="str">
        <x:v>Capacity §3</x:v>
      </x:c>
      <x:c r="F39" s="8" t="n">
        <x:v>9</x:v>
      </x:c>
      <x:c r="G39" s="2"/>
      <x:c r="H39" s="2"/>
    </x:row>
    <x:row r="40" ht="36" customHeight="1">
      <x:c r="A40" s="2" t="str">
        <x:v>Medford scoping + proposal</x:v>
      </x:c>
      <x:c r="B40" s="8" t="n">
        <x:v>2</x:v>
      </x:c>
      <x:c r="C40" s="8" t="n">
        <x:v>4</x:v>
      </x:c>
      <x:c r="D40" s="12" t="str">
        <x:v>Strategist</x:v>
      </x:c>
      <x:c r="E40" s="12" t="str">
        <x:v>Capacity §3</x:v>
      </x:c>
      <x:c r="F40" s="8" t="n">
        <x:v>4</x:v>
      </x:c>
      <x:c r="G40" s="2"/>
      <x:c r="H40" s="2"/>
    </x:row>
    <x:row r="41" ht="25" customHeight="1">
      <x:c r="A41" s="2"/>
      <x:c r="B41" s="2"/>
      <x:c r="C41" s="2"/>
      <x:c r="D41" s="2"/>
      <x:c r="E41" s="2"/>
      <x:c r="F41" s="2"/>
      <x:c r="G41" s="2"/>
      <x:c r="H41" s="2"/>
    </x:row>
    <x:row r="42" ht="25" customHeight="1">
      <x:c r="A42" s="13" t="str">
        <x:v>References</x:v>
      </x:c>
      <x:c r="B42" s="2"/>
      <x:c r="C42" s="2"/>
      <x:c r="D42" s="2"/>
      <x:c r="E42" s="2"/>
      <x:c r="F42" s="2"/>
      <x:c r="G42" s="2"/>
      <x:c r="H42" s="2"/>
    </x:row>
    <x:row r="43" ht="25" customHeight="1">
      <x:c r="A43" s="2" t="str">
        <x:v>Deployment team capacity and decision boundaries for the ten-business-day window.md</x:v>
      </x:c>
      <x:c r="B43" s="2"/>
      <x:c r="C43" s="2"/>
      <x:c r="D43" s="2"/>
      <x:c r="E43" s="2"/>
      <x:c r="F43" s="2"/>
      <x:c r="G43" s="2"/>
      <x:c r="H43" s="2"/>
    </x:row>
    <x:row r="44" ht="25" customHeight="1">
      <x:c r="A44" s="2" t="str">
        <x:v>Sections 1–4: ceilings, protected coverage, engineering cap, estimates and authority.</x:v>
      </x:c>
      <x:c r="B44" s="2"/>
      <x:c r="C44" s="2"/>
      <x:c r="D44" s="2"/>
      <x:c r="E44" s="2"/>
      <x:c r="F44" s="2"/>
      <x:c r="G44" s="2"/>
      <x:c r="H44" s="2"/>
    </x:row>
    <x:row r="45" ht="25" customHeight="1">
      <x:c r="A45" s="2"/>
      <x:c r="B45" s="2"/>
      <x:c r="C45" s="2"/>
      <x:c r="D45" s="2"/>
      <x:c r="E45" s="2"/>
      <x:c r="F45" s="2"/>
      <x:c r="G45" s="2"/>
      <x:c r="H45" s="2"/>
    </x:row>
    <x:row r="46" ht="25" customHeight="1">
      <x:c r="A46" s="2" t="str">
        <x:v>Senior Helpers Ephrata — Account History.md</x:v>
      </x:c>
      <x:c r="B46" s="2"/>
      <x:c r="C46" s="2"/>
      <x:c r="D46" s="2"/>
      <x:c r="E46" s="2"/>
      <x:c r="F46" s="2"/>
      <x:c r="G46" s="2"/>
      <x:c r="H46" s="2"/>
    </x:row>
    <x:row r="47" ht="25" customHeight="1">
      <x:c r="A47" s="2" t="str">
        <x:v>Kickoff; Aug 3–25 tickets/tests/adoption; Sep 8 recurrence and HS-48251.</x:v>
      </x:c>
      <x:c r="B47" s="2"/>
      <x:c r="C47" s="2"/>
      <x:c r="D47" s="2"/>
      <x:c r="E47" s="2"/>
      <x:c r="F47" s="2"/>
      <x:c r="G47" s="2"/>
      <x:c r="H47" s="2"/>
    </x:row>
    <x:row r="48" ht="25" customHeight="1">
      <x:c r="A48" s="2"/>
      <x:c r="B48" s="2"/>
      <x:c r="C48" s="2"/>
      <x:c r="D48" s="2"/>
      <x:c r="E48" s="2"/>
      <x:c r="F48" s="2"/>
      <x:c r="G48" s="2"/>
      <x:c r="H48" s="2"/>
    </x:row>
    <x:row r="49" ht="25" customHeight="1">
      <x:c r="A49" s="2" t="str">
        <x:v>Visiting Angels Durant and Affordable at Home Care Medford's account histories.md</x:v>
      </x:c>
      <x:c r="B49" s="2"/>
      <x:c r="C49" s="2"/>
      <x:c r="D49" s="2"/>
      <x:c r="E49" s="2"/>
      <x:c r="F49" s="2"/>
      <x:c r="G49" s="2"/>
      <x:c r="H49" s="2"/>
    </x:row>
    <x:row r="50" ht="25" customHeight="1">
      <x:c r="A50" s="2" t="str">
        <x:v>Durant Aug 26 / Sep 2 commitments; Sep 8 pending export. Medford Aug 26–Sep 8.</x:v>
      </x:c>
      <x:c r="B50" s="2"/>
      <x:c r="C50" s="2"/>
      <x:c r="D50" s="2"/>
      <x:c r="E50" s="2"/>
      <x:c r="F50" s="2"/>
      <x:c r="G50" s="2"/>
      <x:c r="H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</x:row>
    <x:row r="52" ht="25" customHeight="1">
      <x:c r="A52" s="2" t="str">
        <x:v>All case inputs are the September 8 snapshot. No live staffing or customer result is inferred.</x:v>
      </x:c>
      <x:c r="B52" s="2"/>
      <x:c r="C52" s="2"/>
      <x:c r="D52" s="2"/>
      <x:c r="E52" s="2"/>
      <x:c r="F52" s="2"/>
      <x:c r="G52" s="2"/>
      <x:c r="H52" s="2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</x:row>
  </x:sheetData>
  <x:pageMargins left="0.7" right="0.7" top="0.75" bottom="0.75" header="0.3" footer="0.3"/>
</x:worksheet>
</file>